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BUSINESS\WORKING FILES\INVOICE GENERATOR\"/>
    </mc:Choice>
  </mc:AlternateContent>
  <xr:revisionPtr revIDLastSave="0" documentId="13_ncr:1_{D5BC31BC-3FDB-49F8-AA8C-73791449E19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USTOMER MASTER" sheetId="1" r:id="rId1"/>
    <sheet name="TRANSACTION" sheetId="3" r:id="rId2"/>
    <sheet name="INVOICE" sheetId="2" r:id="rId3"/>
  </sheets>
  <definedNames>
    <definedName name="_xlpm.r" hidden="1" xlm="1">#NAME?</definedName>
    <definedName name="_xlpm.result" hidden="1" xlm="1">#NAME?</definedName>
    <definedName name="_xlpm.v" hidden="1" xlm="1">#NAME?</definedName>
    <definedName name="_xlnm.Print_Area" localSheetId="2">INVOICE!$A$1:$L$48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4" i="3" l="1"/>
  <c r="M25" i="3"/>
  <c r="M26" i="3"/>
  <c r="M27" i="3"/>
  <c r="M28" i="3"/>
  <c r="M29" i="3"/>
  <c r="M30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" i="3"/>
  <c r="I4" i="3" s="1"/>
  <c r="I10" i="3"/>
  <c r="I11" i="3"/>
  <c r="I12" i="3"/>
  <c r="I13" i="3"/>
  <c r="I14" i="3"/>
  <c r="I15" i="3"/>
  <c r="J11" i="2"/>
  <c r="I2" i="3"/>
  <c r="M2" i="3"/>
  <c r="K7" i="3"/>
  <c r="J7" i="3"/>
  <c r="H7" i="3"/>
  <c r="F7" i="3"/>
  <c r="K8" i="3"/>
  <c r="J8" i="3"/>
  <c r="H8" i="3"/>
  <c r="F8" i="3"/>
  <c r="K6" i="3"/>
  <c r="J6" i="3"/>
  <c r="H6" i="3"/>
  <c r="F6" i="3"/>
  <c r="K5" i="3"/>
  <c r="J5" i="3"/>
  <c r="H5" i="3"/>
  <c r="F5" i="3"/>
  <c r="L2" i="3"/>
  <c r="L3" i="3"/>
  <c r="L4" i="3"/>
  <c r="L5" i="3"/>
  <c r="L6" i="3"/>
  <c r="L8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K3" i="3"/>
  <c r="K4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" i="3"/>
  <c r="J3" i="3"/>
  <c r="J4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2" i="3"/>
  <c r="H3" i="3"/>
  <c r="H4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" i="3"/>
  <c r="F3" i="3"/>
  <c r="F4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H25" i="2" l="1" a="1"/>
  <c r="H25" i="2" s="1"/>
  <c r="H21" i="2" a="1"/>
  <c r="H21" i="2" s="1"/>
  <c r="H36" i="2" a="1"/>
  <c r="H36" i="2" s="1"/>
  <c r="H34" i="2" a="1"/>
  <c r="H34" i="2" s="1"/>
  <c r="H32" i="2" a="1"/>
  <c r="H32" i="2" s="1"/>
  <c r="H30" i="2" a="1"/>
  <c r="H30" i="2" s="1"/>
  <c r="H28" i="2" a="1"/>
  <c r="H28" i="2" s="1"/>
  <c r="H26" i="2" a="1"/>
  <c r="H26" i="2" s="1"/>
  <c r="H24" i="2" a="1"/>
  <c r="H24" i="2" s="1"/>
  <c r="H22" i="2" a="1"/>
  <c r="H22" i="2" s="1"/>
  <c r="H37" i="2" a="1"/>
  <c r="H37" i="2" s="1"/>
  <c r="H35" i="2" a="1"/>
  <c r="H35" i="2" s="1"/>
  <c r="H33" i="2" a="1"/>
  <c r="H33" i="2" s="1"/>
  <c r="H31" i="2" a="1"/>
  <c r="H31" i="2" s="1"/>
  <c r="H29" i="2" a="1"/>
  <c r="H29" i="2" s="1"/>
  <c r="H27" i="2" a="1"/>
  <c r="H27" i="2" s="1"/>
  <c r="H23" i="2" a="1"/>
  <c r="H23" i="2" s="1"/>
  <c r="F21" i="2" a="1"/>
  <c r="F21" i="2" s="1"/>
  <c r="L21" i="2" s="1"/>
  <c r="F29" i="2" a="1"/>
  <c r="F29" i="2" s="1"/>
  <c r="F35" i="2" a="1"/>
  <c r="F35" i="2" s="1"/>
  <c r="F33" i="2" a="1"/>
  <c r="F33" i="2" s="1"/>
  <c r="L33" i="2" s="1"/>
  <c r="F32" i="2" a="1"/>
  <c r="F32" i="2" s="1"/>
  <c r="L32" i="2" s="1"/>
  <c r="F28" i="2" a="1"/>
  <c r="F28" i="2" s="1"/>
  <c r="L28" i="2" s="1"/>
  <c r="F24" i="2" a="1"/>
  <c r="F24" i="2" s="1"/>
  <c r="F37" i="2" a="1"/>
  <c r="F37" i="2" s="1"/>
  <c r="F31" i="2" a="1"/>
  <c r="F31" i="2" s="1"/>
  <c r="L31" i="2" s="1"/>
  <c r="F36" i="2" a="1"/>
  <c r="F36" i="2" s="1"/>
  <c r="L36" i="2" s="1"/>
  <c r="F34" i="2" a="1"/>
  <c r="F34" i="2" s="1"/>
  <c r="L34" i="2" s="1"/>
  <c r="F30" i="2" a="1"/>
  <c r="F30" i="2" s="1"/>
  <c r="F26" i="2" a="1"/>
  <c r="F26" i="2" s="1"/>
  <c r="F22" i="2" a="1"/>
  <c r="F22" i="2" s="1"/>
  <c r="L22" i="2" s="1"/>
  <c r="F27" i="2" a="1"/>
  <c r="F27" i="2" s="1"/>
  <c r="L27" i="2" s="1"/>
  <c r="F25" i="2" a="1"/>
  <c r="F25" i="2" s="1"/>
  <c r="L25" i="2" s="1"/>
  <c r="F23" i="2" a="1"/>
  <c r="F23" i="2" s="1"/>
  <c r="C18" i="2" a="1"/>
  <c r="C11" i="2"/>
  <c r="I5" i="3"/>
  <c r="J12" i="2"/>
  <c r="C14" i="2"/>
  <c r="C13" i="2"/>
  <c r="C12" i="2"/>
  <c r="L23" i="2" l="1"/>
  <c r="L29" i="2"/>
  <c r="L35" i="2"/>
  <c r="L30" i="2"/>
  <c r="L24" i="2"/>
  <c r="L26" i="2"/>
  <c r="L37" i="2"/>
  <c r="F19" i="2" a="1"/>
  <c r="F19" i="2" s="1"/>
  <c r="H19" i="2" a="1"/>
  <c r="H19" i="2" s="1"/>
  <c r="H20" i="2" a="1"/>
  <c r="H20" i="2" s="1"/>
  <c r="F20" i="2" a="1"/>
  <c r="F20" i="2" s="1"/>
  <c r="C18" i="2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I7" i="3"/>
  <c r="I6" i="3"/>
  <c r="I8" i="3" s="1"/>
  <c r="L19" i="2" l="1"/>
  <c r="L20" i="2"/>
  <c r="F18" i="2" a="1"/>
  <c r="F18" i="2" s="1"/>
  <c r="H18" i="2" a="1"/>
  <c r="H18" i="2" s="1"/>
  <c r="I9" i="3"/>
  <c r="L18" i="2" l="1"/>
  <c r="L39" i="2" s="1"/>
  <c r="L40" i="2" l="1"/>
  <c r="L4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<sst xmlns="http://schemas.openxmlformats.org/spreadsheetml/2006/main" count="68" uniqueCount="58">
  <si>
    <t>TAX INVOICE</t>
  </si>
  <si>
    <t>COMPANY NAME</t>
  </si>
  <si>
    <t>CUSTOMER DETAIL</t>
  </si>
  <si>
    <t>CUSTOMER NAME</t>
  </si>
  <si>
    <t>CUSTOMER ADDRESS</t>
  </si>
  <si>
    <t>PHONE NO</t>
  </si>
  <si>
    <t>GSTIN</t>
  </si>
  <si>
    <t>INVOICE NO</t>
  </si>
  <si>
    <t>S.NO</t>
  </si>
  <si>
    <t>ITEM</t>
  </si>
  <si>
    <t>RATE</t>
  </si>
  <si>
    <t>QTY</t>
  </si>
  <si>
    <t>AMOUNT</t>
  </si>
  <si>
    <t>SUBTOTAL</t>
  </si>
  <si>
    <t>SALES TAX</t>
  </si>
  <si>
    <t>DISCOUNT</t>
  </si>
  <si>
    <t>GRAND TOTAL</t>
  </si>
  <si>
    <t>COMPANY ADDRESS</t>
  </si>
  <si>
    <t>THANK YOU</t>
  </si>
  <si>
    <t>AUTHORIZED SIGNATURE</t>
  </si>
  <si>
    <t>GSTIN NUMBER</t>
  </si>
  <si>
    <t>BILL DATE</t>
  </si>
  <si>
    <t>DUE DATE</t>
  </si>
  <si>
    <t>Mobile Number</t>
  </si>
  <si>
    <t>Customer ID</t>
  </si>
  <si>
    <t>Name</t>
  </si>
  <si>
    <t>Address</t>
  </si>
  <si>
    <t>Contact Notes</t>
  </si>
  <si>
    <t>John Doe</t>
  </si>
  <si>
    <t>Chennai</t>
  </si>
  <si>
    <t>33ABCDE1234F1Z5</t>
  </si>
  <si>
    <t>VIP Customer</t>
  </si>
  <si>
    <t>Mary Smith</t>
  </si>
  <si>
    <t>Mumbai</t>
  </si>
  <si>
    <t>27XYZAB9876L1Z7</t>
  </si>
  <si>
    <t>Regular</t>
  </si>
  <si>
    <t>Date</t>
  </si>
  <si>
    <t>Item</t>
  </si>
  <si>
    <t>Qty</t>
  </si>
  <si>
    <t>Rate</t>
  </si>
  <si>
    <t>Amount</t>
  </si>
  <si>
    <t>Transaction ID</t>
  </si>
  <si>
    <t>Pen</t>
  </si>
  <si>
    <t>TXN101</t>
  </si>
  <si>
    <t>Notebook</t>
  </si>
  <si>
    <t>Pencil</t>
  </si>
  <si>
    <t>TXN102</t>
  </si>
  <si>
    <t>NAME</t>
  </si>
  <si>
    <t>ADDRESS</t>
  </si>
  <si>
    <t>TXN103</t>
  </si>
  <si>
    <t>TXN104</t>
  </si>
  <si>
    <t>Invoice No Helper</t>
  </si>
  <si>
    <t>INVOICE NUMBER</t>
  </si>
  <si>
    <t>INV-202510-1</t>
  </si>
  <si>
    <t>ENTER INVOICE NUMBER:</t>
  </si>
  <si>
    <t>TXN105</t>
  </si>
  <si>
    <t>NOTE</t>
  </si>
  <si>
    <t>TAPE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</si>
</sst>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&quot;₹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0" xfId="0" applyFont="1" applyBorder="1" applyAlignment="1">
      <alignment horizontal="right"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Alignment="1"/>
    <xf numFmtId="15" fontId="0" fillId="0" borderId="0" xfId="0" applyNumberFormat="1" applyAlignment="1">
      <alignment vertical="center"/>
    </xf>
    <xf numFmtId="0" fontId="0" fillId="0" borderId="0" xfId="0" applyAlignment="1">
      <alignment horizontal="center"/>
    </xf>
    <xf numFmtId="168" fontId="1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0" fillId="0" borderId="0" xfId="0" applyNumberFormat="1" applyAlignment="1"/>
    <xf numFmtId="14" fontId="6" fillId="0" borderId="0" xfId="0" applyNumberFormat="1" applyFont="1" applyBorder="1" applyAlignment="1">
      <alignment vertical="center"/>
    </xf>
    <xf numFmtId="168" fontId="0" fillId="2" borderId="0" xfId="0" applyNumberFormat="1" applyFill="1" applyAlignment="1">
      <alignment vertical="center"/>
    </xf>
    <xf numFmtId="168" fontId="0" fillId="0" borderId="3" xfId="0" applyNumberFormat="1" applyBorder="1" applyAlignment="1">
      <alignment vertical="center"/>
    </xf>
    <xf numFmtId="168" fontId="0" fillId="0" borderId="5" xfId="0" applyNumberFormat="1" applyBorder="1" applyAlignment="1">
      <alignment vertical="center"/>
    </xf>
    <xf numFmtId="168" fontId="0" fillId="0" borderId="8" xfId="0" applyNumberForma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168" fontId="0" fillId="0" borderId="0" xfId="0" applyNumberFormat="1" applyBorder="1" applyAlignment="1">
      <alignment vertical="center"/>
    </xf>
    <xf numFmtId="168" fontId="0" fillId="0" borderId="7" xfId="0" applyNumberFormat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right" vertical="center"/>
    </xf>
    <xf numFmtId="168" fontId="2" fillId="2" borderId="3" xfId="0" applyNumberFormat="1" applyFont="1" applyFill="1" applyBorder="1" applyAlignment="1">
      <alignment vertical="center"/>
    </xf>
    <xf numFmtId="2" fontId="0" fillId="0" borderId="0" xfId="0" applyNumberFormat="1" applyBorder="1" applyAlignment="1">
      <alignment horizontal="right" vertical="center"/>
    </xf>
    <xf numFmtId="9" fontId="6" fillId="0" borderId="0" xfId="0" applyNumberFormat="1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" vertical="center"/>
    </xf>
    <xf numFmtId="0" fontId="1" fillId="2" borderId="7" xfId="0" applyFont="1" applyFill="1" applyBorder="1" applyAlignment="1">
      <alignment horizontal="right" vertical="center"/>
    </xf>
    <xf numFmtId="168" fontId="3" fillId="2" borderId="8" xfId="0" applyNumberFormat="1" applyFont="1" applyFill="1" applyBorder="1" applyAlignment="1">
      <alignment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1" fillId="0" borderId="3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598169</xdr:colOff>
          <xdr:row>10</xdr:row>
          <xdr:rowOff>104776</xdr:rowOff>
        </xdr:from>
        <xdr:to>
          <xdr:col>17</xdr:col>
          <xdr:colOff>9525</xdr:colOff>
          <xdr:row>12</xdr:row>
          <xdr:rowOff>85726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"/>
  <sheetViews>
    <sheetView workbookViewId="0">
      <selection activeCell="G23" sqref="G23"/>
    </sheetView>
  </sheetViews>
  <sheetFormatPr defaultRowHeight="14.4" x14ac:dyDescent="0.3"/>
  <cols>
    <col min="1" max="6" width="26.109375" style="21" customWidth="1"/>
  </cols>
  <sheetData>
    <row r="1" spans="1:6" x14ac:dyDescent="0.3">
      <c r="A1" s="17" t="s">
        <v>23</v>
      </c>
      <c r="B1" s="17" t="s">
        <v>24</v>
      </c>
      <c r="C1" s="17" t="s">
        <v>25</v>
      </c>
      <c r="D1" s="17" t="s">
        <v>26</v>
      </c>
      <c r="E1" s="17" t="s">
        <v>6</v>
      </c>
      <c r="F1" s="17" t="s">
        <v>27</v>
      </c>
    </row>
    <row r="2" spans="1:6" x14ac:dyDescent="0.3">
      <c r="A2" s="3">
        <v>9876543210</v>
      </c>
      <c r="B2" s="3">
        <v>1001</v>
      </c>
      <c r="C2" s="3" t="s">
        <v>28</v>
      </c>
      <c r="D2" s="3" t="s">
        <v>29</v>
      </c>
      <c r="E2" s="3" t="s">
        <v>30</v>
      </c>
      <c r="F2" s="3" t="s">
        <v>31</v>
      </c>
    </row>
    <row r="3" spans="1:6" x14ac:dyDescent="0.3">
      <c r="A3" s="3">
        <v>9123456780</v>
      </c>
      <c r="B3" s="3">
        <v>1002</v>
      </c>
      <c r="C3" s="3" t="s">
        <v>32</v>
      </c>
      <c r="D3" s="3" t="s">
        <v>33</v>
      </c>
      <c r="E3" s="3" t="s">
        <v>34</v>
      </c>
      <c r="F3" s="3" t="s">
        <v>35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B45E7-D8F9-4317-9D1F-4E1982BCAD5F}">
  <sheetPr codeName="Sheet2"/>
  <dimension ref="A1:M30"/>
  <sheetViews>
    <sheetView zoomScale="90" zoomScaleNormal="90" workbookViewId="0">
      <selection activeCell="J23" sqref="J23"/>
    </sheetView>
  </sheetViews>
  <sheetFormatPr defaultColWidth="18.77734375" defaultRowHeight="14.4" x14ac:dyDescent="0.3"/>
  <cols>
    <col min="1" max="3" width="17.33203125" style="21" customWidth="1"/>
    <col min="4" max="5" width="17.33203125" style="23" customWidth="1"/>
    <col min="6" max="6" width="17.33203125" style="26" customWidth="1"/>
    <col min="7" max="12" width="17.33203125" style="21" customWidth="1"/>
    <col min="13" max="16384" width="18.77734375" style="21"/>
  </cols>
  <sheetData>
    <row r="1" spans="1:13" x14ac:dyDescent="0.3">
      <c r="A1" s="17" t="s">
        <v>23</v>
      </c>
      <c r="B1" s="17" t="s">
        <v>36</v>
      </c>
      <c r="C1" s="17" t="s">
        <v>37</v>
      </c>
      <c r="D1" s="17" t="s">
        <v>38</v>
      </c>
      <c r="E1" s="17" t="s">
        <v>39</v>
      </c>
      <c r="F1" s="24" t="s">
        <v>40</v>
      </c>
      <c r="G1" s="17" t="s">
        <v>41</v>
      </c>
      <c r="H1" s="17" t="s">
        <v>24</v>
      </c>
      <c r="I1" s="17" t="s">
        <v>51</v>
      </c>
      <c r="J1" s="17" t="s">
        <v>47</v>
      </c>
      <c r="K1" s="17" t="s">
        <v>48</v>
      </c>
      <c r="L1" s="17" t="s">
        <v>6</v>
      </c>
      <c r="M1" s="17" t="s">
        <v>52</v>
      </c>
    </row>
    <row r="2" spans="1:13" x14ac:dyDescent="0.3">
      <c r="A2" s="3">
        <v>9876543210</v>
      </c>
      <c r="B2" s="22">
        <v>45937</v>
      </c>
      <c r="C2" s="3" t="s">
        <v>42</v>
      </c>
      <c r="D2" s="6">
        <v>5</v>
      </c>
      <c r="E2" s="6">
        <v>10</v>
      </c>
      <c r="F2" s="25">
        <f>IF(D2*E2=0,"",D2*E2)</f>
        <v>50</v>
      </c>
      <c r="G2" s="3" t="s">
        <v>43</v>
      </c>
      <c r="H2" s="21">
        <f>_xlfn.LET(_xlpm.result, _xlfn.XLOOKUP(A2, 'CUSTOMER MASTER'!$A$2:$A$100, 'CUSTOMER MASTER'!$B$2:$B$100, ""), IF(_xlpm.result=0, "", _xlpm.result))</f>
        <v>1001</v>
      </c>
      <c r="I2" s="3">
        <f>IFERROR(
    IF(COUNTIF($G$2:G2,G2)=1, MAX($I$1:I1)+1, INDEX($I$1:I1, MATCH(G2,$G$1:G1,0))),
    ""
)</f>
        <v>1</v>
      </c>
      <c r="J2" s="21" t="str">
        <f>_xlfn.LET(_xlpm.result, _xlfn.XLOOKUP(A2, 'CUSTOMER MASTER'!$A$2:$A$100, 'CUSTOMER MASTER'!$C$2:$C$100, ""), IF(_xlpm.result=0, "", _xlpm.result))</f>
        <v>John Doe</v>
      </c>
      <c r="K2" s="21" t="str">
        <f>_xlfn.LET(_xlpm.result, _xlfn.XLOOKUP(A2, 'CUSTOMER MASTER'!$A$2:$A$100, 'CUSTOMER MASTER'!$D$2:$D$100, ""), IF(_xlpm.result=0, "", _xlpm.result))</f>
        <v>Chennai</v>
      </c>
      <c r="L2" s="21" t="str">
        <f>_xlfn.LET(_xlpm.result, _xlfn.XLOOKUP(A2, 'CUSTOMER MASTER'!$A$2:$A$100, 'CUSTOMER MASTER'!$E$2:$E$100, ""), IF(_xlpm.result=0, "", _xlpm.result))</f>
        <v>33ABCDE1234F1Z5</v>
      </c>
      <c r="M2" s="21" t="str">
        <f ca="1">IFERROR(
    "INV-" &amp; TEXT(TODAY(),"YYYYMM") &amp; "-" &amp;
    IF(COUNTIF($G$2:G2,G2)=1, MAX($I$1:I1)+1, INDEX($I$1:I1, MATCH(G2,$G$1:G1,0))),
"")</f>
        <v>INV-202510-1</v>
      </c>
    </row>
    <row r="3" spans="1:13" x14ac:dyDescent="0.3">
      <c r="A3" s="3">
        <v>9876543210</v>
      </c>
      <c r="B3" s="22">
        <v>45937</v>
      </c>
      <c r="C3" s="3" t="s">
        <v>44</v>
      </c>
      <c r="D3" s="6">
        <v>1</v>
      </c>
      <c r="E3" s="6">
        <v>50</v>
      </c>
      <c r="F3" s="25">
        <f t="shared" ref="F3:F23" si="0">IF(D3*E3=0,"",D3*E3)</f>
        <v>50</v>
      </c>
      <c r="G3" s="3" t="s">
        <v>43</v>
      </c>
      <c r="H3" s="21">
        <f>_xlfn.LET(_xlpm.result, _xlfn.XLOOKUP(A3, 'CUSTOMER MASTER'!$A$2:$A$100, 'CUSTOMER MASTER'!$B$2:$B$100, ""), IF(_xlpm.result=0, "", _xlpm.result))</f>
        <v>1001</v>
      </c>
      <c r="I3" s="3">
        <f>IFERROR(
    IF(COUNTIF($G$2:G3,G3)=1, MAX($I$1:I2)+1, INDEX($I$1:I2, MATCH(G3,$G$1:G2,0))),
    ""
)</f>
        <v>1</v>
      </c>
      <c r="J3" s="21" t="str">
        <f>_xlfn.LET(_xlpm.result, _xlfn.XLOOKUP(A3, 'CUSTOMER MASTER'!$A$2:$A$100, 'CUSTOMER MASTER'!$C$2:$C$100, ""), IF(_xlpm.result=0, "", _xlpm.result))</f>
        <v>John Doe</v>
      </c>
      <c r="K3" s="21" t="str">
        <f>_xlfn.LET(_xlpm.result, _xlfn.XLOOKUP(A3, 'CUSTOMER MASTER'!$A$2:$A$100, 'CUSTOMER MASTER'!$D$2:$D$100, ""), IF(_xlpm.result=0, "", _xlpm.result))</f>
        <v>Chennai</v>
      </c>
      <c r="L3" s="21" t="str">
        <f>_xlfn.LET(_xlpm.result, _xlfn.XLOOKUP(A3, 'CUSTOMER MASTER'!$A$2:$A$100, 'CUSTOMER MASTER'!$E$2:$E$100, ""), IF(_xlpm.result=0, "", _xlpm.result))</f>
        <v>33ABCDE1234F1Z5</v>
      </c>
      <c r="M3" s="21" t="str">
        <f ca="1">IFERROR(
    "INV-" &amp; TEXT(TODAY(),"YYYYMM") &amp; "-" &amp;
    IF(COUNTIF($G$2:G3,G3)=1, MAX($I$1:I2)+1, INDEX($I$1:I2, MATCH(G3,$G$1:G2,0))),
"")</f>
        <v>INV-202510-1</v>
      </c>
    </row>
    <row r="4" spans="1:13" x14ac:dyDescent="0.3">
      <c r="A4" s="3">
        <v>9123456780</v>
      </c>
      <c r="B4" s="22">
        <v>45937</v>
      </c>
      <c r="C4" s="3" t="s">
        <v>45</v>
      </c>
      <c r="D4" s="6">
        <v>3</v>
      </c>
      <c r="E4" s="6">
        <v>5</v>
      </c>
      <c r="F4" s="25">
        <f t="shared" si="0"/>
        <v>15</v>
      </c>
      <c r="G4" s="3" t="s">
        <v>46</v>
      </c>
      <c r="H4" s="21">
        <f>_xlfn.LET(_xlpm.result, _xlfn.XLOOKUP(A4, 'CUSTOMER MASTER'!$A$2:$A$100, 'CUSTOMER MASTER'!$B$2:$B$100, ""), IF(_xlpm.result=0, "", _xlpm.result))</f>
        <v>1002</v>
      </c>
      <c r="I4" s="3">
        <f>IFERROR(
    IF(COUNTIF($G$2:G4,G4)=1, MAX($I$1:I3)+1, INDEX($I$1:I3, MATCH(G4,$G$1:G3,0))),
    ""
)</f>
        <v>2</v>
      </c>
      <c r="J4" s="21" t="str">
        <f>_xlfn.LET(_xlpm.result, _xlfn.XLOOKUP(A4, 'CUSTOMER MASTER'!$A$2:$A$100, 'CUSTOMER MASTER'!$C$2:$C$100, ""), IF(_xlpm.result=0, "", _xlpm.result))</f>
        <v>Mary Smith</v>
      </c>
      <c r="K4" s="21" t="str">
        <f>_xlfn.LET(_xlpm.result, _xlfn.XLOOKUP(A4, 'CUSTOMER MASTER'!$A$2:$A$100, 'CUSTOMER MASTER'!$D$2:$D$100, ""), IF(_xlpm.result=0, "", _xlpm.result))</f>
        <v>Mumbai</v>
      </c>
      <c r="L4" s="21" t="str">
        <f>_xlfn.LET(_xlpm.result, _xlfn.XLOOKUP(A4, 'CUSTOMER MASTER'!$A$2:$A$100, 'CUSTOMER MASTER'!$E$2:$E$100, ""), IF(_xlpm.result=0, "", _xlpm.result))</f>
        <v>27XYZAB9876L1Z7</v>
      </c>
      <c r="M4" s="21" t="str">
        <f ca="1">IFERROR(
    "INV-" &amp; TEXT(TODAY(),"YYYYMM") &amp; "-" &amp;
    IF(COUNTIF($G$2:G4,G4)=1, MAX($I$1:I3)+1, INDEX($I$1:I3, MATCH(G4,$G$1:G3,0))),
"")</f>
        <v>INV-202510-2</v>
      </c>
    </row>
    <row r="5" spans="1:13" x14ac:dyDescent="0.3">
      <c r="A5" s="3">
        <v>9876543210</v>
      </c>
      <c r="B5" s="22">
        <v>45937</v>
      </c>
      <c r="C5" s="3" t="s">
        <v>44</v>
      </c>
      <c r="D5" s="6">
        <v>2</v>
      </c>
      <c r="E5" s="6">
        <v>50</v>
      </c>
      <c r="F5" s="25">
        <f t="shared" ref="F5" si="1">IF(D5*E5=0,"",D5*E5)</f>
        <v>100</v>
      </c>
      <c r="G5" s="3" t="s">
        <v>49</v>
      </c>
      <c r="H5" s="21">
        <f>_xlfn.LET(_xlpm.result, _xlfn.XLOOKUP(A5, 'CUSTOMER MASTER'!$A$2:$A$100, 'CUSTOMER MASTER'!$B$2:$B$100, ""), IF(_xlpm.result=0, "", _xlpm.result))</f>
        <v>1001</v>
      </c>
      <c r="I5" s="3">
        <f>IFERROR(
    IF(COUNTIF($G$2:G5,G5)=1, MAX($I$1:I4)+1, INDEX($I$1:I4, MATCH(G5,$G$1:G4,0))),
    ""
)</f>
        <v>3</v>
      </c>
      <c r="J5" s="21" t="str">
        <f>_xlfn.LET(_xlpm.result, _xlfn.XLOOKUP(A5, 'CUSTOMER MASTER'!$A$2:$A$100, 'CUSTOMER MASTER'!$C$2:$C$100, ""), IF(_xlpm.result=0, "", _xlpm.result))</f>
        <v>John Doe</v>
      </c>
      <c r="K5" s="21" t="str">
        <f>_xlfn.LET(_xlpm.result, _xlfn.XLOOKUP(A5, 'CUSTOMER MASTER'!$A$2:$A$100, 'CUSTOMER MASTER'!$D$2:$D$100, ""), IF(_xlpm.result=0, "", _xlpm.result))</f>
        <v>Chennai</v>
      </c>
      <c r="L5" s="21" t="str">
        <f>_xlfn.LET(_xlpm.result, _xlfn.XLOOKUP(A5, 'CUSTOMER MASTER'!$A$2:$A$100, 'CUSTOMER MASTER'!$E$2:$E$100, ""), IF(_xlpm.result=0, "", _xlpm.result))</f>
        <v>33ABCDE1234F1Z5</v>
      </c>
      <c r="M5" s="21" t="str">
        <f ca="1">IFERROR(
    "INV-" &amp; TEXT(TODAY(),"YYYYMM") &amp; "-" &amp;
    IF(COUNTIF($G$2:G5,G5)=1, MAX($I$1:I4)+1, INDEX($I$1:I4, MATCH(G5,$G$1:G4,0))),
"")</f>
        <v>INV-202510-3</v>
      </c>
    </row>
    <row r="6" spans="1:13" x14ac:dyDescent="0.3">
      <c r="A6" s="3">
        <v>9876543210</v>
      </c>
      <c r="B6" s="22">
        <v>45937</v>
      </c>
      <c r="C6" s="3" t="s">
        <v>56</v>
      </c>
      <c r="D6" s="6">
        <v>2</v>
      </c>
      <c r="E6" s="6">
        <v>25</v>
      </c>
      <c r="F6" s="25">
        <f t="shared" ref="F6:F7" si="2">IF(D6*E6=0,"",D6*E6)</f>
        <v>50</v>
      </c>
      <c r="G6" s="3" t="s">
        <v>49</v>
      </c>
      <c r="H6" s="21">
        <f>_xlfn.LET(_xlpm.result, _xlfn.XLOOKUP(A6, 'CUSTOMER MASTER'!$A$2:$A$100, 'CUSTOMER MASTER'!$B$2:$B$100, ""), IF(_xlpm.result=0, "", _xlpm.result))</f>
        <v>1001</v>
      </c>
      <c r="I6" s="3">
        <f>IFERROR(
    IF(COUNTIF($G$2:G6,G6)=1, MAX($I$1:I5)+1, INDEX($I$1:I5, MATCH(G6,$G$1:G5,0))),
    ""
)</f>
        <v>3</v>
      </c>
      <c r="J6" s="21" t="str">
        <f>_xlfn.LET(_xlpm.result, _xlfn.XLOOKUP(A6, 'CUSTOMER MASTER'!$A$2:$A$100, 'CUSTOMER MASTER'!$C$2:$C$100, ""), IF(_xlpm.result=0, "", _xlpm.result))</f>
        <v>John Doe</v>
      </c>
      <c r="K6" s="21" t="str">
        <f>_xlfn.LET(_xlpm.result, _xlfn.XLOOKUP(A6, 'CUSTOMER MASTER'!$A$2:$A$100, 'CUSTOMER MASTER'!$D$2:$D$100, ""), IF(_xlpm.result=0, "", _xlpm.result))</f>
        <v>Chennai</v>
      </c>
      <c r="L6" s="21" t="str">
        <f>_xlfn.LET(_xlpm.result, _xlfn.XLOOKUP(A6, 'CUSTOMER MASTER'!$A$2:$A$100, 'CUSTOMER MASTER'!$E$2:$E$100, ""), IF(_xlpm.result=0, "", _xlpm.result))</f>
        <v>33ABCDE1234F1Z5</v>
      </c>
      <c r="M6" s="21" t="str">
        <f ca="1">IFERROR(
    "INV-" &amp; TEXT(TODAY(),"YYYYMM") &amp; "-" &amp;
    IF(COUNTIF($G$2:G6,G6)=1, MAX($I$1:I5)+1, INDEX($I$1:I5, MATCH(G6,$G$1:G5,0))),
"")</f>
        <v>INV-202510-3</v>
      </c>
    </row>
    <row r="7" spans="1:13" x14ac:dyDescent="0.3">
      <c r="A7" s="3">
        <v>9876543210</v>
      </c>
      <c r="B7" s="22">
        <v>45937</v>
      </c>
      <c r="C7" s="3" t="s">
        <v>57</v>
      </c>
      <c r="D7" s="6">
        <v>2</v>
      </c>
      <c r="E7" s="6">
        <v>36</v>
      </c>
      <c r="F7" s="25">
        <f t="shared" si="2"/>
        <v>72</v>
      </c>
      <c r="G7" s="3" t="s">
        <v>49</v>
      </c>
      <c r="H7" s="21">
        <f>_xlfn.LET(_xlpm.result, _xlfn.XLOOKUP(A7, 'CUSTOMER MASTER'!$A$2:$A$100, 'CUSTOMER MASTER'!$B$2:$B$100, ""), IF(_xlpm.result=0, "", _xlpm.result))</f>
        <v>1001</v>
      </c>
      <c r="I7" s="3">
        <f>IFERROR(
    IF(COUNTIF($G$2:G7,G7)=1, MAX($I$1:I6)+1, INDEX($I$1:I6, MATCH(G7,$G$1:G6,0))),
    ""
)</f>
        <v>3</v>
      </c>
      <c r="J7" s="21" t="str">
        <f>_xlfn.LET(_xlpm.result, _xlfn.XLOOKUP(A7, 'CUSTOMER MASTER'!$A$2:$A$100, 'CUSTOMER MASTER'!$C$2:$C$100, ""), IF(_xlpm.result=0, "", _xlpm.result))</f>
        <v>John Doe</v>
      </c>
      <c r="K7" s="21" t="str">
        <f>_xlfn.LET(_xlpm.result, _xlfn.XLOOKUP(A7, 'CUSTOMER MASTER'!$A$2:$A$100, 'CUSTOMER MASTER'!$D$2:$D$100, ""), IF(_xlpm.result=0, "", _xlpm.result))</f>
        <v>Chennai</v>
      </c>
      <c r="L7" s="21" t="str">
        <f>_xlfn.LET(_xlpm.result, _xlfn.XLOOKUP(A7, 'CUSTOMER MASTER'!$A$2:$A$100, 'CUSTOMER MASTER'!$E$2:$E$100, ""), IF(_xlpm.result=0, "", _xlpm.result))</f>
        <v>33ABCDE1234F1Z5</v>
      </c>
      <c r="M7" s="21" t="str">
        <f ca="1">IFERROR(
    "INV-" &amp; TEXT(TODAY(),"YYYYMM") &amp; "-" &amp;
    IF(COUNTIF($G$2:G7,G7)=1, MAX($I$1:I6)+1, INDEX($I$1:I6, MATCH(G7,$G$1:G6,0))),
"")</f>
        <v>INV-202510-3</v>
      </c>
    </row>
    <row r="8" spans="1:13" x14ac:dyDescent="0.3">
      <c r="A8" s="3">
        <v>9123456780</v>
      </c>
      <c r="B8" s="22">
        <v>45937</v>
      </c>
      <c r="C8" s="3" t="s">
        <v>44</v>
      </c>
      <c r="D8" s="6">
        <v>2</v>
      </c>
      <c r="E8" s="6">
        <v>50</v>
      </c>
      <c r="F8" s="25">
        <f>IF(D8*E8=0,"",D8*E8)</f>
        <v>100</v>
      </c>
      <c r="G8" s="3" t="s">
        <v>50</v>
      </c>
      <c r="H8" s="21">
        <f>_xlfn.LET(_xlpm.result, _xlfn.XLOOKUP(A8, 'CUSTOMER MASTER'!$A$2:$A$100, 'CUSTOMER MASTER'!$B$2:$B$100, ""), IF(_xlpm.result=0, "", _xlpm.result))</f>
        <v>1002</v>
      </c>
      <c r="I8" s="3">
        <f>IFERROR(
    IF(COUNTIF($G$2:G8,G8)=1, MAX($I$1:I7)+1, INDEX($I$1:I7, MATCH(G8,$G$1:G7,0))),
    ""
)</f>
        <v>4</v>
      </c>
      <c r="J8" s="21" t="str">
        <f>_xlfn.LET(_xlpm.result, _xlfn.XLOOKUP(A8, 'CUSTOMER MASTER'!$A$2:$A$100, 'CUSTOMER MASTER'!$C$2:$C$100, ""), IF(_xlpm.result=0, "", _xlpm.result))</f>
        <v>Mary Smith</v>
      </c>
      <c r="K8" s="21" t="str">
        <f>_xlfn.LET(_xlpm.result, _xlfn.XLOOKUP(A8, 'CUSTOMER MASTER'!$A$2:$A$100, 'CUSTOMER MASTER'!$D$2:$D$100, ""), IF(_xlpm.result=0, "", _xlpm.result))</f>
        <v>Mumbai</v>
      </c>
      <c r="L8" s="21" t="str">
        <f>_xlfn.LET(_xlpm.result, _xlfn.XLOOKUP(A8, 'CUSTOMER MASTER'!$A$2:$A$100, 'CUSTOMER MASTER'!$E$2:$E$100, ""), IF(_xlpm.result=0, "", _xlpm.result))</f>
        <v>27XYZAB9876L1Z7</v>
      </c>
      <c r="M8" s="21" t="str">
        <f ca="1">IFERROR(
    "INV-" &amp; TEXT(TODAY(),"YYYYMM") &amp; "-" &amp;
    IF(COUNTIF($G$2:G8,G8)=1, MAX($I$1:I7)+1, INDEX($I$1:I7, MATCH(G8,$G$1:G7,0))),
"")</f>
        <v>INV-202510-4</v>
      </c>
    </row>
    <row r="9" spans="1:13" x14ac:dyDescent="0.3">
      <c r="A9" s="3">
        <v>9123456780</v>
      </c>
      <c r="B9" s="22">
        <v>45938</v>
      </c>
      <c r="C9" s="3" t="s">
        <v>45</v>
      </c>
      <c r="D9" s="6">
        <v>6</v>
      </c>
      <c r="E9" s="6">
        <v>30</v>
      </c>
      <c r="F9" s="25">
        <f t="shared" si="0"/>
        <v>180</v>
      </c>
      <c r="G9" s="3" t="s">
        <v>55</v>
      </c>
      <c r="H9" s="21">
        <f>_xlfn.LET(_xlpm.result, _xlfn.XLOOKUP(A9, 'CUSTOMER MASTER'!$A$2:$A$100, 'CUSTOMER MASTER'!$B$2:$B$100, ""), IF(_xlpm.result=0, "", _xlpm.result))</f>
        <v>1002</v>
      </c>
      <c r="I9" s="3">
        <f>IFERROR(
    IF(COUNTIF($G$2:G9,G9)=1, MAX($I$1:I8)+1, INDEX($I$1:I8, MATCH(G9,$G$1:G8,0))),
    ""
)</f>
        <v>5</v>
      </c>
      <c r="J9" s="21" t="str">
        <f>_xlfn.LET(_xlpm.result, _xlfn.XLOOKUP(A9, 'CUSTOMER MASTER'!$A$2:$A$100, 'CUSTOMER MASTER'!$C$2:$C$100, ""), IF(_xlpm.result=0, "", _xlpm.result))</f>
        <v>Mary Smith</v>
      </c>
      <c r="K9" s="21" t="str">
        <f>_xlfn.LET(_xlpm.result, _xlfn.XLOOKUP(A9, 'CUSTOMER MASTER'!$A$2:$A$100, 'CUSTOMER MASTER'!$D$2:$D$100, ""), IF(_xlpm.result=0, "", _xlpm.result))</f>
        <v>Mumbai</v>
      </c>
      <c r="L9" s="21" t="str">
        <f>_xlfn.LET(_xlpm.result, _xlfn.XLOOKUP(A9, 'CUSTOMER MASTER'!$A$2:$A$100, 'CUSTOMER MASTER'!$E$2:$E$100, ""), IF(_xlpm.result=0, "", _xlpm.result))</f>
        <v>27XYZAB9876L1Z7</v>
      </c>
      <c r="M9" s="21" t="str">
        <f ca="1">IFERROR(
    "INV-" &amp; TEXT(TODAY(),"YYYYMM") &amp; "-" &amp;
    IF(COUNTIF($G$2:G9,G9)=1, MAX($I$1:I8)+1, INDEX($I$1:I8, MATCH(G9,$G$1:G8,0))),
"")</f>
        <v>INV-202510-5</v>
      </c>
    </row>
    <row r="10" spans="1:13" x14ac:dyDescent="0.3">
      <c r="F10" s="25" t="str">
        <f t="shared" si="0"/>
        <v/>
      </c>
      <c r="H10" s="21" t="str">
        <f>_xlfn.LET(_xlpm.result, _xlfn.XLOOKUP(A10, 'CUSTOMER MASTER'!$A$2:$A$100, 'CUSTOMER MASTER'!$B$2:$B$100, ""), IF(_xlpm.result=0, "", _xlpm.result))</f>
        <v/>
      </c>
      <c r="I10" s="3" t="str">
        <f>IFERROR(
    IF(COUNTIF($G$2:G10,G10)=1, MAX($I$1:I9)+1, INDEX($I$1:I9, MATCH(G10,$G$1:G9,0))),
    ""
)</f>
        <v/>
      </c>
      <c r="J10" s="21" t="str">
        <f>_xlfn.LET(_xlpm.result, _xlfn.XLOOKUP(A10, 'CUSTOMER MASTER'!$A$2:$A$100, 'CUSTOMER MASTER'!$C$2:$C$100, ""), IF(_xlpm.result=0, "", _xlpm.result))</f>
        <v/>
      </c>
      <c r="K10" s="21" t="str">
        <f>_xlfn.LET(_xlpm.result, _xlfn.XLOOKUP(A10, 'CUSTOMER MASTER'!$A$2:$A$100, 'CUSTOMER MASTER'!$D$2:$D$100, ""), IF(_xlpm.result=0, "", _xlpm.result))</f>
        <v/>
      </c>
      <c r="L10" s="21" t="str">
        <f>_xlfn.LET(_xlpm.result, _xlfn.XLOOKUP(A10, 'CUSTOMER MASTER'!$A$2:$A$100, 'CUSTOMER MASTER'!$E$2:$E$100, ""), IF(_xlpm.result=0, "", _xlpm.result))</f>
        <v/>
      </c>
      <c r="M10" s="21" t="str">
        <f ca="1">IFERROR(
    "INV-" &amp; TEXT(TODAY(),"YYYYMM") &amp; "-" &amp;
    IF(COUNTIF($G$2:G10,G10)=1, MAX($I$1:I9)+1, INDEX($I$1:I9, MATCH(G10,$G$1:G9,0))),
"")</f>
        <v/>
      </c>
    </row>
    <row r="11" spans="1:13" x14ac:dyDescent="0.3">
      <c r="F11" s="25" t="str">
        <f t="shared" si="0"/>
        <v/>
      </c>
      <c r="H11" s="21" t="str">
        <f>_xlfn.LET(_xlpm.result, _xlfn.XLOOKUP(A11, 'CUSTOMER MASTER'!$A$2:$A$100, 'CUSTOMER MASTER'!$B$2:$B$100, ""), IF(_xlpm.result=0, "", _xlpm.result))</f>
        <v/>
      </c>
      <c r="I11" s="3" t="str">
        <f>IFERROR(
    IF(COUNTIF($G$2:G11,G11)=1, MAX($I$1:I10)+1, INDEX($I$1:I10, MATCH(G11,$G$1:G10,0))),
    ""
)</f>
        <v/>
      </c>
      <c r="J11" s="21" t="str">
        <f>_xlfn.LET(_xlpm.result, _xlfn.XLOOKUP(A11, 'CUSTOMER MASTER'!$A$2:$A$100, 'CUSTOMER MASTER'!$C$2:$C$100, ""), IF(_xlpm.result=0, "", _xlpm.result))</f>
        <v/>
      </c>
      <c r="K11" s="21" t="str">
        <f>_xlfn.LET(_xlpm.result, _xlfn.XLOOKUP(A11, 'CUSTOMER MASTER'!$A$2:$A$100, 'CUSTOMER MASTER'!$D$2:$D$100, ""), IF(_xlpm.result=0, "", _xlpm.result))</f>
        <v/>
      </c>
      <c r="L11" s="21" t="str">
        <f>_xlfn.LET(_xlpm.result, _xlfn.XLOOKUP(A11, 'CUSTOMER MASTER'!$A$2:$A$100, 'CUSTOMER MASTER'!$E$2:$E$100, ""), IF(_xlpm.result=0, "", _xlpm.result))</f>
        <v/>
      </c>
      <c r="M11" s="21" t="str">
        <f ca="1">IFERROR(
    "INV-" &amp; TEXT(TODAY(),"YYYYMM") &amp; "-" &amp;
    IF(COUNTIF($G$2:G11,G11)=1, MAX($I$1:I10)+1, INDEX($I$1:I10, MATCH(G11,$G$1:G10,0))),
"")</f>
        <v/>
      </c>
    </row>
    <row r="12" spans="1:13" x14ac:dyDescent="0.3">
      <c r="F12" s="25" t="str">
        <f t="shared" si="0"/>
        <v/>
      </c>
      <c r="H12" s="21" t="str">
        <f>_xlfn.LET(_xlpm.result, _xlfn.XLOOKUP(A12, 'CUSTOMER MASTER'!$A$2:$A$100, 'CUSTOMER MASTER'!$B$2:$B$100, ""), IF(_xlpm.result=0, "", _xlpm.result))</f>
        <v/>
      </c>
      <c r="I12" s="3" t="str">
        <f>IFERROR(
    IF(COUNTIF($G$2:G12,G12)=1, MAX($I$1:I11)+1, INDEX($I$1:I11, MATCH(G12,$G$1:G11,0))),
    ""
)</f>
        <v/>
      </c>
      <c r="J12" s="21" t="str">
        <f>_xlfn.LET(_xlpm.result, _xlfn.XLOOKUP(A12, 'CUSTOMER MASTER'!$A$2:$A$100, 'CUSTOMER MASTER'!$C$2:$C$100, ""), IF(_xlpm.result=0, "", _xlpm.result))</f>
        <v/>
      </c>
      <c r="K12" s="21" t="str">
        <f>_xlfn.LET(_xlpm.result, _xlfn.XLOOKUP(A12, 'CUSTOMER MASTER'!$A$2:$A$100, 'CUSTOMER MASTER'!$D$2:$D$100, ""), IF(_xlpm.result=0, "", _xlpm.result))</f>
        <v/>
      </c>
      <c r="L12" s="21" t="str">
        <f>_xlfn.LET(_xlpm.result, _xlfn.XLOOKUP(A12, 'CUSTOMER MASTER'!$A$2:$A$100, 'CUSTOMER MASTER'!$E$2:$E$100, ""), IF(_xlpm.result=0, "", _xlpm.result))</f>
        <v/>
      </c>
      <c r="M12" s="21" t="str">
        <f ca="1">IFERROR(
    "INV-" &amp; TEXT(TODAY(),"YYYYMM") &amp; "-" &amp;
    IF(COUNTIF($G$2:G12,G12)=1, MAX($I$1:I11)+1, INDEX($I$1:I11, MATCH(G12,$G$1:G11,0))),
"")</f>
        <v/>
      </c>
    </row>
    <row r="13" spans="1:13" x14ac:dyDescent="0.3">
      <c r="F13" s="25" t="str">
        <f t="shared" si="0"/>
        <v/>
      </c>
      <c r="H13" s="21" t="str">
        <f>_xlfn.LET(_xlpm.result, _xlfn.XLOOKUP(A13, 'CUSTOMER MASTER'!$A$2:$A$100, 'CUSTOMER MASTER'!$B$2:$B$100, ""), IF(_xlpm.result=0, "", _xlpm.result))</f>
        <v/>
      </c>
      <c r="I13" s="3" t="str">
        <f>IFERROR(
    IF(COUNTIF($G$2:G13,G13)=1, MAX($I$1:I12)+1, INDEX($I$1:I12, MATCH(G13,$G$1:G12,0))),
    ""
)</f>
        <v/>
      </c>
      <c r="J13" s="21" t="str">
        <f>_xlfn.LET(_xlpm.result, _xlfn.XLOOKUP(A13, 'CUSTOMER MASTER'!$A$2:$A$100, 'CUSTOMER MASTER'!$C$2:$C$100, ""), IF(_xlpm.result=0, "", _xlpm.result))</f>
        <v/>
      </c>
      <c r="K13" s="21" t="str">
        <f>_xlfn.LET(_xlpm.result, _xlfn.XLOOKUP(A13, 'CUSTOMER MASTER'!$A$2:$A$100, 'CUSTOMER MASTER'!$D$2:$D$100, ""), IF(_xlpm.result=0, "", _xlpm.result))</f>
        <v/>
      </c>
      <c r="L13" s="21" t="str">
        <f>_xlfn.LET(_xlpm.result, _xlfn.XLOOKUP(A13, 'CUSTOMER MASTER'!$A$2:$A$100, 'CUSTOMER MASTER'!$E$2:$E$100, ""), IF(_xlpm.result=0, "", _xlpm.result))</f>
        <v/>
      </c>
      <c r="M13" s="21" t="str">
        <f ca="1">IFERROR(
    "INV-" &amp; TEXT(TODAY(),"YYYYMM") &amp; "-" &amp;
    IF(COUNTIF($G$2:G13,G13)=1, MAX($I$1:I12)+1, INDEX($I$1:I12, MATCH(G13,$G$1:G12,0))),
"")</f>
        <v/>
      </c>
    </row>
    <row r="14" spans="1:13" x14ac:dyDescent="0.3">
      <c r="F14" s="25" t="str">
        <f t="shared" si="0"/>
        <v/>
      </c>
      <c r="H14" s="21" t="str">
        <f>_xlfn.LET(_xlpm.result, _xlfn.XLOOKUP(A14, 'CUSTOMER MASTER'!$A$2:$A$100, 'CUSTOMER MASTER'!$B$2:$B$100, ""), IF(_xlpm.result=0, "", _xlpm.result))</f>
        <v/>
      </c>
      <c r="I14" s="3" t="str">
        <f>IFERROR(
    IF(COUNTIF($G$2:G14,G14)=1, MAX($I$1:I13)+1, INDEX($I$1:I13, MATCH(G14,$G$1:G13,0))),
    ""
)</f>
        <v/>
      </c>
      <c r="J14" s="21" t="str">
        <f>_xlfn.LET(_xlpm.result, _xlfn.XLOOKUP(A14, 'CUSTOMER MASTER'!$A$2:$A$100, 'CUSTOMER MASTER'!$C$2:$C$100, ""), IF(_xlpm.result=0, "", _xlpm.result))</f>
        <v/>
      </c>
      <c r="K14" s="21" t="str">
        <f>_xlfn.LET(_xlpm.result, _xlfn.XLOOKUP(A14, 'CUSTOMER MASTER'!$A$2:$A$100, 'CUSTOMER MASTER'!$D$2:$D$100, ""), IF(_xlpm.result=0, "", _xlpm.result))</f>
        <v/>
      </c>
      <c r="L14" s="21" t="str">
        <f>_xlfn.LET(_xlpm.result, _xlfn.XLOOKUP(A14, 'CUSTOMER MASTER'!$A$2:$A$100, 'CUSTOMER MASTER'!$E$2:$E$100, ""), IF(_xlpm.result=0, "", _xlpm.result))</f>
        <v/>
      </c>
      <c r="M14" s="21" t="str">
        <f ca="1">IFERROR(
    "INV-" &amp; TEXT(TODAY(),"YYYYMM") &amp; "-" &amp;
    IF(COUNTIF($G$2:G14,G14)=1, MAX($I$1:I13)+1, INDEX($I$1:I13, MATCH(G14,$G$1:G13,0))),
"")</f>
        <v/>
      </c>
    </row>
    <row r="15" spans="1:13" x14ac:dyDescent="0.3">
      <c r="F15" s="25" t="str">
        <f t="shared" si="0"/>
        <v/>
      </c>
      <c r="H15" s="21" t="str">
        <f>_xlfn.LET(_xlpm.result, _xlfn.XLOOKUP(A15, 'CUSTOMER MASTER'!$A$2:$A$100, 'CUSTOMER MASTER'!$B$2:$B$100, ""), IF(_xlpm.result=0, "", _xlpm.result))</f>
        <v/>
      </c>
      <c r="I15" s="3" t="str">
        <f>IFERROR(
    IF(COUNTIF($G$2:G15,G15)=1, MAX($I$1:I14)+1, INDEX($I$1:I14, MATCH(G15,$G$1:G14,0))),
    ""
)</f>
        <v/>
      </c>
      <c r="J15" s="21" t="str">
        <f>_xlfn.LET(_xlpm.result, _xlfn.XLOOKUP(A15, 'CUSTOMER MASTER'!$A$2:$A$100, 'CUSTOMER MASTER'!$C$2:$C$100, ""), IF(_xlpm.result=0, "", _xlpm.result))</f>
        <v/>
      </c>
      <c r="K15" s="21" t="str">
        <f>_xlfn.LET(_xlpm.result, _xlfn.XLOOKUP(A15, 'CUSTOMER MASTER'!$A$2:$A$100, 'CUSTOMER MASTER'!$D$2:$D$100, ""), IF(_xlpm.result=0, "", _xlpm.result))</f>
        <v/>
      </c>
      <c r="L15" s="21" t="str">
        <f>_xlfn.LET(_xlpm.result, _xlfn.XLOOKUP(A15, 'CUSTOMER MASTER'!$A$2:$A$100, 'CUSTOMER MASTER'!$E$2:$E$100, ""), IF(_xlpm.result=0, "", _xlpm.result))</f>
        <v/>
      </c>
      <c r="M15" s="21" t="str">
        <f ca="1">IFERROR(
    "INV-" &amp; TEXT(TODAY(),"YYYYMM") &amp; "-" &amp;
    IF(COUNTIF($G$2:G15,G15)=1, MAX($I$1:I14)+1, INDEX($I$1:I14, MATCH(G15,$G$1:G14,0))),
"")</f>
        <v/>
      </c>
    </row>
    <row r="16" spans="1:13" x14ac:dyDescent="0.3">
      <c r="F16" s="25" t="str">
        <f t="shared" si="0"/>
        <v/>
      </c>
      <c r="H16" s="21" t="str">
        <f>_xlfn.LET(_xlpm.result, _xlfn.XLOOKUP(A16, 'CUSTOMER MASTER'!$A$2:$A$100, 'CUSTOMER MASTER'!$B$2:$B$100, ""), IF(_xlpm.result=0, "", _xlpm.result))</f>
        <v/>
      </c>
      <c r="I16" s="3" t="str">
        <f>IFERROR(
    IF(COUNTIF($G$2:G16,G16)=1, MAX($I$1:I15)+1, INDEX($I$1:I15, MATCH(G16,$G$1:G15,0))),
    ""
)</f>
        <v/>
      </c>
      <c r="J16" s="21" t="str">
        <f>_xlfn.LET(_xlpm.result, _xlfn.XLOOKUP(A16, 'CUSTOMER MASTER'!$A$2:$A$100, 'CUSTOMER MASTER'!$C$2:$C$100, ""), IF(_xlpm.result=0, "", _xlpm.result))</f>
        <v/>
      </c>
      <c r="K16" s="21" t="str">
        <f>_xlfn.LET(_xlpm.result, _xlfn.XLOOKUP(A16, 'CUSTOMER MASTER'!$A$2:$A$100, 'CUSTOMER MASTER'!$D$2:$D$100, ""), IF(_xlpm.result=0, "", _xlpm.result))</f>
        <v/>
      </c>
      <c r="L16" s="21" t="str">
        <f>_xlfn.LET(_xlpm.result, _xlfn.XLOOKUP(A16, 'CUSTOMER MASTER'!$A$2:$A$100, 'CUSTOMER MASTER'!$E$2:$E$100, ""), IF(_xlpm.result=0, "", _xlpm.result))</f>
        <v/>
      </c>
      <c r="M16" s="21" t="str">
        <f ca="1">IFERROR(
    "INV-" &amp; TEXT(TODAY(),"YYYYMM") &amp; "-" &amp;
    IF(COUNTIF($G$2:G16,G16)=1, MAX($I$1:I15)+1, INDEX($I$1:I15, MATCH(G16,$G$1:G15,0))),
"")</f>
        <v/>
      </c>
    </row>
    <row r="17" spans="6:13" x14ac:dyDescent="0.3">
      <c r="F17" s="25" t="str">
        <f t="shared" si="0"/>
        <v/>
      </c>
      <c r="H17" s="21" t="str">
        <f>_xlfn.LET(_xlpm.result, _xlfn.XLOOKUP(A17, 'CUSTOMER MASTER'!$A$2:$A$100, 'CUSTOMER MASTER'!$B$2:$B$100, ""), IF(_xlpm.result=0, "", _xlpm.result))</f>
        <v/>
      </c>
      <c r="I17" s="3" t="str">
        <f>IFERROR(
    IF(COUNTIF($G$2:G17,G17)=1, MAX($I$1:I16)+1, INDEX($I$1:I16, MATCH(G17,$G$1:G16,0))),
    ""
)</f>
        <v/>
      </c>
      <c r="J17" s="21" t="str">
        <f>_xlfn.LET(_xlpm.result, _xlfn.XLOOKUP(A17, 'CUSTOMER MASTER'!$A$2:$A$100, 'CUSTOMER MASTER'!$C$2:$C$100, ""), IF(_xlpm.result=0, "", _xlpm.result))</f>
        <v/>
      </c>
      <c r="K17" s="21" t="str">
        <f>_xlfn.LET(_xlpm.result, _xlfn.XLOOKUP(A17, 'CUSTOMER MASTER'!$A$2:$A$100, 'CUSTOMER MASTER'!$D$2:$D$100, ""), IF(_xlpm.result=0, "", _xlpm.result))</f>
        <v/>
      </c>
      <c r="L17" s="21" t="str">
        <f>_xlfn.LET(_xlpm.result, _xlfn.XLOOKUP(A17, 'CUSTOMER MASTER'!$A$2:$A$100, 'CUSTOMER MASTER'!$E$2:$E$100, ""), IF(_xlpm.result=0, "", _xlpm.result))</f>
        <v/>
      </c>
      <c r="M17" s="21" t="str">
        <f ca="1">IFERROR(
    "INV-" &amp; TEXT(TODAY(),"YYYYMM") &amp; "-" &amp;
    IF(COUNTIF($G$2:G17,G17)=1, MAX($I$1:I16)+1, INDEX($I$1:I16, MATCH(G17,$G$1:G16,0))),
"")</f>
        <v/>
      </c>
    </row>
    <row r="18" spans="6:13" x14ac:dyDescent="0.3">
      <c r="F18" s="25" t="str">
        <f t="shared" si="0"/>
        <v/>
      </c>
      <c r="H18" s="21" t="str">
        <f>_xlfn.LET(_xlpm.result, _xlfn.XLOOKUP(A18, 'CUSTOMER MASTER'!$A$2:$A$100, 'CUSTOMER MASTER'!$B$2:$B$100, ""), IF(_xlpm.result=0, "", _xlpm.result))</f>
        <v/>
      </c>
      <c r="I18" s="3" t="str">
        <f>IFERROR(
    IF(COUNTIF($G$2:G18,G18)=1, MAX($I$1:I17)+1, INDEX($I$1:I17, MATCH(G18,$G$1:G17,0))),
    ""
)</f>
        <v/>
      </c>
      <c r="J18" s="21" t="str">
        <f>_xlfn.LET(_xlpm.result, _xlfn.XLOOKUP(A18, 'CUSTOMER MASTER'!$A$2:$A$100, 'CUSTOMER MASTER'!$C$2:$C$100, ""), IF(_xlpm.result=0, "", _xlpm.result))</f>
        <v/>
      </c>
      <c r="K18" s="21" t="str">
        <f>_xlfn.LET(_xlpm.result, _xlfn.XLOOKUP(A18, 'CUSTOMER MASTER'!$A$2:$A$100, 'CUSTOMER MASTER'!$D$2:$D$100, ""), IF(_xlpm.result=0, "", _xlpm.result))</f>
        <v/>
      </c>
      <c r="L18" s="21" t="str">
        <f>_xlfn.LET(_xlpm.result, _xlfn.XLOOKUP(A18, 'CUSTOMER MASTER'!$A$2:$A$100, 'CUSTOMER MASTER'!$E$2:$E$100, ""), IF(_xlpm.result=0, "", _xlpm.result))</f>
        <v/>
      </c>
      <c r="M18" s="21" t="str">
        <f ca="1">IFERROR(
    "INV-" &amp; TEXT(TODAY(),"YYYYMM") &amp; "-" &amp;
    IF(COUNTIF($G$2:G18,G18)=1, MAX($I$1:I17)+1, INDEX($I$1:I17, MATCH(G18,$G$1:G17,0))),
"")</f>
        <v/>
      </c>
    </row>
    <row r="19" spans="6:13" x14ac:dyDescent="0.3">
      <c r="F19" s="25" t="str">
        <f t="shared" si="0"/>
        <v/>
      </c>
      <c r="H19" s="21" t="str">
        <f>_xlfn.LET(_xlpm.result, _xlfn.XLOOKUP(A19, 'CUSTOMER MASTER'!$A$2:$A$100, 'CUSTOMER MASTER'!$B$2:$B$100, ""), IF(_xlpm.result=0, "", _xlpm.result))</f>
        <v/>
      </c>
      <c r="I19" s="3" t="str">
        <f>IFERROR(
    IF(COUNTIF($G$2:G19,G19)=1, MAX($I$1:I18)+1, INDEX($I$1:I18, MATCH(G19,$G$1:G18,0))),
    ""
)</f>
        <v/>
      </c>
      <c r="J19" s="21" t="str">
        <f>_xlfn.LET(_xlpm.result, _xlfn.XLOOKUP(A19, 'CUSTOMER MASTER'!$A$2:$A$100, 'CUSTOMER MASTER'!$C$2:$C$100, ""), IF(_xlpm.result=0, "", _xlpm.result))</f>
        <v/>
      </c>
      <c r="K19" s="21" t="str">
        <f>_xlfn.LET(_xlpm.result, _xlfn.XLOOKUP(A19, 'CUSTOMER MASTER'!$A$2:$A$100, 'CUSTOMER MASTER'!$D$2:$D$100, ""), IF(_xlpm.result=0, "", _xlpm.result))</f>
        <v/>
      </c>
      <c r="L19" s="21" t="str">
        <f>_xlfn.LET(_xlpm.result, _xlfn.XLOOKUP(A19, 'CUSTOMER MASTER'!$A$2:$A$100, 'CUSTOMER MASTER'!$E$2:$E$100, ""), IF(_xlpm.result=0, "", _xlpm.result))</f>
        <v/>
      </c>
      <c r="M19" s="21" t="str">
        <f ca="1">IFERROR(
    "INV-" &amp; TEXT(TODAY(),"YYYYMM") &amp; "-" &amp;
    IF(COUNTIF($G$2:G19,G19)=1, MAX($I$1:I18)+1, INDEX($I$1:I18, MATCH(G19,$G$1:G18,0))),
"")</f>
        <v/>
      </c>
    </row>
    <row r="20" spans="6:13" x14ac:dyDescent="0.3">
      <c r="F20" s="25" t="str">
        <f t="shared" si="0"/>
        <v/>
      </c>
      <c r="H20" s="21" t="str">
        <f>_xlfn.LET(_xlpm.result, _xlfn.XLOOKUP(A20, 'CUSTOMER MASTER'!$A$2:$A$100, 'CUSTOMER MASTER'!$B$2:$B$100, ""), IF(_xlpm.result=0, "", _xlpm.result))</f>
        <v/>
      </c>
      <c r="I20" s="3" t="str">
        <f>IFERROR(
    IF(COUNTIF($G$2:G20,G20)=1, MAX($I$1:I19)+1, INDEX($I$1:I19, MATCH(G20,$G$1:G19,0))),
    ""
)</f>
        <v/>
      </c>
      <c r="J20" s="21" t="str">
        <f>_xlfn.LET(_xlpm.result, _xlfn.XLOOKUP(A20, 'CUSTOMER MASTER'!$A$2:$A$100, 'CUSTOMER MASTER'!$C$2:$C$100, ""), IF(_xlpm.result=0, "", _xlpm.result))</f>
        <v/>
      </c>
      <c r="K20" s="21" t="str">
        <f>_xlfn.LET(_xlpm.result, _xlfn.XLOOKUP(A20, 'CUSTOMER MASTER'!$A$2:$A$100, 'CUSTOMER MASTER'!$D$2:$D$100, ""), IF(_xlpm.result=0, "", _xlpm.result))</f>
        <v/>
      </c>
      <c r="L20" s="21" t="str">
        <f>_xlfn.LET(_xlpm.result, _xlfn.XLOOKUP(A20, 'CUSTOMER MASTER'!$A$2:$A$100, 'CUSTOMER MASTER'!$E$2:$E$100, ""), IF(_xlpm.result=0, "", _xlpm.result))</f>
        <v/>
      </c>
      <c r="M20" s="21" t="str">
        <f ca="1">IFERROR(
    "INV-" &amp; TEXT(TODAY(),"YYYYMM") &amp; "-" &amp;
    IF(COUNTIF($G$2:G20,G20)=1, MAX($I$1:I19)+1, INDEX($I$1:I19, MATCH(G20,$G$1:G19,0))),
"")</f>
        <v/>
      </c>
    </row>
    <row r="21" spans="6:13" x14ac:dyDescent="0.3">
      <c r="F21" s="25" t="str">
        <f t="shared" si="0"/>
        <v/>
      </c>
      <c r="H21" s="21" t="str">
        <f>_xlfn.LET(_xlpm.result, _xlfn.XLOOKUP(A21, 'CUSTOMER MASTER'!$A$2:$A$100, 'CUSTOMER MASTER'!$B$2:$B$100, ""), IF(_xlpm.result=0, "", _xlpm.result))</f>
        <v/>
      </c>
      <c r="I21" s="3" t="str">
        <f>IFERROR(
    IF(COUNTIF($G$2:G21,G21)=1, MAX($I$1:I20)+1, INDEX($I$1:I20, MATCH(G21,$G$1:G20,0))),
    ""
)</f>
        <v/>
      </c>
      <c r="J21" s="21" t="str">
        <f>_xlfn.LET(_xlpm.result, _xlfn.XLOOKUP(A21, 'CUSTOMER MASTER'!$A$2:$A$100, 'CUSTOMER MASTER'!$C$2:$C$100, ""), IF(_xlpm.result=0, "", _xlpm.result))</f>
        <v/>
      </c>
      <c r="K21" s="21" t="str">
        <f>_xlfn.LET(_xlpm.result, _xlfn.XLOOKUP(A21, 'CUSTOMER MASTER'!$A$2:$A$100, 'CUSTOMER MASTER'!$D$2:$D$100, ""), IF(_xlpm.result=0, "", _xlpm.result))</f>
        <v/>
      </c>
      <c r="L21" s="21" t="str">
        <f>_xlfn.LET(_xlpm.result, _xlfn.XLOOKUP(A21, 'CUSTOMER MASTER'!$A$2:$A$100, 'CUSTOMER MASTER'!$E$2:$E$100, ""), IF(_xlpm.result=0, "", _xlpm.result))</f>
        <v/>
      </c>
      <c r="M21" s="21" t="str">
        <f ca="1">IFERROR(
    "INV-" &amp; TEXT(TODAY(),"YYYYMM") &amp; "-" &amp;
    IF(COUNTIF($G$2:G21,G21)=1, MAX($I$1:I20)+1, INDEX($I$1:I20, MATCH(G21,$G$1:G20,0))),
"")</f>
        <v/>
      </c>
    </row>
    <row r="22" spans="6:13" x14ac:dyDescent="0.3">
      <c r="F22" s="25" t="str">
        <f t="shared" si="0"/>
        <v/>
      </c>
      <c r="H22" s="21" t="str">
        <f>_xlfn.LET(_xlpm.result, _xlfn.XLOOKUP(A22, 'CUSTOMER MASTER'!$A$2:$A$100, 'CUSTOMER MASTER'!$B$2:$B$100, ""), IF(_xlpm.result=0, "", _xlpm.result))</f>
        <v/>
      </c>
      <c r="I22" s="3" t="str">
        <f>IFERROR(
    IF(COUNTIF($G$2:G22,G22)=1, MAX($I$1:I21)+1, INDEX($I$1:I21, MATCH(G22,$G$1:G21,0))),
    ""
)</f>
        <v/>
      </c>
      <c r="J22" s="21" t="str">
        <f>_xlfn.LET(_xlpm.result, _xlfn.XLOOKUP(A22, 'CUSTOMER MASTER'!$A$2:$A$100, 'CUSTOMER MASTER'!$C$2:$C$100, ""), IF(_xlpm.result=0, "", _xlpm.result))</f>
        <v/>
      </c>
      <c r="K22" s="21" t="str">
        <f>_xlfn.LET(_xlpm.result, _xlfn.XLOOKUP(A22, 'CUSTOMER MASTER'!$A$2:$A$100, 'CUSTOMER MASTER'!$D$2:$D$100, ""), IF(_xlpm.result=0, "", _xlpm.result))</f>
        <v/>
      </c>
      <c r="L22" s="21" t="str">
        <f>_xlfn.LET(_xlpm.result, _xlfn.XLOOKUP(A22, 'CUSTOMER MASTER'!$A$2:$A$100, 'CUSTOMER MASTER'!$E$2:$E$100, ""), IF(_xlpm.result=0, "", _xlpm.result))</f>
        <v/>
      </c>
      <c r="M22" s="21" t="str">
        <f ca="1">IFERROR(
    "INV-" &amp; TEXT(TODAY(),"YYYYMM") &amp; "-" &amp;
    IF(COUNTIF($G$2:G22,G22)=1, MAX($I$1:I21)+1, INDEX($I$1:I21, MATCH(G22,$G$1:G21,0))),
"")</f>
        <v/>
      </c>
    </row>
    <row r="23" spans="6:13" x14ac:dyDescent="0.3">
      <c r="F23" s="25" t="str">
        <f t="shared" si="0"/>
        <v/>
      </c>
      <c r="H23" s="21" t="str">
        <f>_xlfn.LET(_xlpm.result, _xlfn.XLOOKUP(A23, 'CUSTOMER MASTER'!$A$2:$A$100, 'CUSTOMER MASTER'!$B$2:$B$100, ""), IF(_xlpm.result=0, "", _xlpm.result))</f>
        <v/>
      </c>
      <c r="I23" s="3" t="str">
        <f>IFERROR(
    IF(COUNTIF($G$2:G23,G23)=1, MAX($I$1:I22)+1, INDEX($I$1:I22, MATCH(G23,$G$1:G22,0))),
    ""
)</f>
        <v/>
      </c>
      <c r="J23" s="21" t="str">
        <f>_xlfn.LET(_xlpm.result, _xlfn.XLOOKUP(A23, 'CUSTOMER MASTER'!$A$2:$A$100, 'CUSTOMER MASTER'!$C$2:$C$100, ""), IF(_xlpm.result=0, "", _xlpm.result))</f>
        <v/>
      </c>
      <c r="K23" s="21" t="str">
        <f>_xlfn.LET(_xlpm.result, _xlfn.XLOOKUP(A23, 'CUSTOMER MASTER'!$A$2:$A$100, 'CUSTOMER MASTER'!$D$2:$D$100, ""), IF(_xlpm.result=0, "", _xlpm.result))</f>
        <v/>
      </c>
      <c r="L23" s="21" t="str">
        <f>_xlfn.LET(_xlpm.result, _xlfn.XLOOKUP(A23, 'CUSTOMER MASTER'!$A$2:$A$100, 'CUSTOMER MASTER'!$E$2:$E$100, ""), IF(_xlpm.result=0, "", _xlpm.result))</f>
        <v/>
      </c>
      <c r="M23" s="21" t="str">
        <f ca="1">IFERROR(
    "INV-" &amp; TEXT(TODAY(),"YYYYMM") &amp; "-" &amp;
    IF(COUNTIF($G$2:G23,G23)=1, MAX($I$1:I22)+1, INDEX($I$1:I22, MATCH(G23,$G$1:G22,0))),
"")</f>
        <v/>
      </c>
    </row>
    <row r="24" spans="6:13" x14ac:dyDescent="0.3">
      <c r="H24" s="21" t="str">
        <f>_xlfn.LET(_xlpm.result, _xlfn.XLOOKUP(A24, 'CUSTOMER MASTER'!$A$2:$A$100, 'CUSTOMER MASTER'!$B$2:$B$100, ""), IF(_xlpm.result=0, "", _xlpm.result))</f>
        <v/>
      </c>
      <c r="I24" s="3" t="str">
        <f>IFERROR(
    IF(COUNTIF($G$2:G24,G24)=1, MAX($I$1:I23)+1, INDEX($I$1:I23, MATCH(G24,$G$1:G23,0))),
    ""
)</f>
        <v/>
      </c>
      <c r="J24" s="21" t="str">
        <f>_xlfn.LET(_xlpm.result, _xlfn.XLOOKUP(A24, 'CUSTOMER MASTER'!$A$2:$A$100, 'CUSTOMER MASTER'!$C$2:$C$100, ""), IF(_xlpm.result=0, "", _xlpm.result))</f>
        <v/>
      </c>
      <c r="K24" s="21" t="str">
        <f>_xlfn.LET(_xlpm.result, _xlfn.XLOOKUP(A24, 'CUSTOMER MASTER'!$A$2:$A$100, 'CUSTOMER MASTER'!$D$2:$D$100, ""), IF(_xlpm.result=0, "", _xlpm.result))</f>
        <v/>
      </c>
      <c r="L24" s="21" t="str">
        <f>_xlfn.LET(_xlpm.result, _xlfn.XLOOKUP(A24, 'CUSTOMER MASTER'!$A$2:$A$100, 'CUSTOMER MASTER'!$E$2:$E$100, ""), IF(_xlpm.result=0, "", _xlpm.result))</f>
        <v/>
      </c>
      <c r="M24" s="21" t="str">
        <f ca="1">IFERROR(
    "INV-" &amp; TEXT(TODAY(),"YYYYMM") &amp; "-" &amp;
    IF(COUNTIF($G$2:G24,G24)=1, MAX($I$1:I23)+1, INDEX($I$1:I23, MATCH(G24,$G$1:G23,0))),
"")</f>
        <v/>
      </c>
    </row>
    <row r="25" spans="6:13" x14ac:dyDescent="0.3">
      <c r="H25" s="21" t="str">
        <f>_xlfn.LET(_xlpm.result, _xlfn.XLOOKUP(A25, 'CUSTOMER MASTER'!$A$2:$A$100, 'CUSTOMER MASTER'!$B$2:$B$100, ""), IF(_xlpm.result=0, "", _xlpm.result))</f>
        <v/>
      </c>
      <c r="I25" s="3" t="str">
        <f>IFERROR(
    IF(COUNTIF($G$2:G25,G25)=1, MAX($I$1:I24)+1, INDEX($I$1:I24, MATCH(G25,$G$1:G24,0))),
    ""
)</f>
        <v/>
      </c>
      <c r="J25" s="21" t="str">
        <f>_xlfn.LET(_xlpm.result, _xlfn.XLOOKUP(A25, 'CUSTOMER MASTER'!$A$2:$A$100, 'CUSTOMER MASTER'!$C$2:$C$100, ""), IF(_xlpm.result=0, "", _xlpm.result))</f>
        <v/>
      </c>
      <c r="K25" s="21" t="str">
        <f>_xlfn.LET(_xlpm.result, _xlfn.XLOOKUP(A25, 'CUSTOMER MASTER'!$A$2:$A$100, 'CUSTOMER MASTER'!$D$2:$D$100, ""), IF(_xlpm.result=0, "", _xlpm.result))</f>
        <v/>
      </c>
      <c r="L25" s="21" t="str">
        <f>_xlfn.LET(_xlpm.result, _xlfn.XLOOKUP(A25, 'CUSTOMER MASTER'!$A$2:$A$100, 'CUSTOMER MASTER'!$E$2:$E$100, ""), IF(_xlpm.result=0, "", _xlpm.result))</f>
        <v/>
      </c>
      <c r="M25" s="21" t="str">
        <f ca="1">IFERROR(
    "INV-" &amp; TEXT(TODAY(),"YYYYMM") &amp; "-" &amp;
    IF(COUNTIF($G$2:G25,G25)=1, MAX($I$1:I24)+1, INDEX($I$1:I24, MATCH(G25,$G$1:G24,0))),
"")</f>
        <v/>
      </c>
    </row>
    <row r="26" spans="6:13" x14ac:dyDescent="0.3">
      <c r="I26" s="3" t="str">
        <f>IFERROR(
    IF(COUNTIF($G$2:G26,G26)=1, MAX($I$1:I25)+1, INDEX($I$1:I25, MATCH(G26,$G$1:G25,0))),
    ""
)</f>
        <v/>
      </c>
      <c r="J26" s="21" t="str">
        <f>_xlfn.LET(_xlpm.result, _xlfn.XLOOKUP(A26, 'CUSTOMER MASTER'!$A$2:$A$100, 'CUSTOMER MASTER'!$C$2:$C$100, ""), IF(_xlpm.result=0, "", _xlpm.result))</f>
        <v/>
      </c>
      <c r="K26" s="21" t="str">
        <f>_xlfn.LET(_xlpm.result, _xlfn.XLOOKUP(A26, 'CUSTOMER MASTER'!$A$2:$A$100, 'CUSTOMER MASTER'!$D$2:$D$100, ""), IF(_xlpm.result=0, "", _xlpm.result))</f>
        <v/>
      </c>
      <c r="L26" s="21" t="str">
        <f>_xlfn.LET(_xlpm.result, _xlfn.XLOOKUP(A26, 'CUSTOMER MASTER'!$A$2:$A$100, 'CUSTOMER MASTER'!$E$2:$E$100, ""), IF(_xlpm.result=0, "", _xlpm.result))</f>
        <v/>
      </c>
      <c r="M26" s="21" t="str">
        <f ca="1">IFERROR(
    "INV-" &amp; TEXT(TODAY(),"YYYYMM") &amp; "-" &amp;
    IF(COUNTIF($G$2:G26,G26)=1, MAX($I$1:I25)+1, INDEX($I$1:I25, MATCH(G26,$G$1:G25,0))),
"")</f>
        <v/>
      </c>
    </row>
    <row r="27" spans="6:13" x14ac:dyDescent="0.3">
      <c r="I27" s="3" t="str">
        <f>IFERROR(
    IF(COUNTIF($G$2:G27,G27)=1, MAX($I$1:I26)+1, INDEX($I$1:I26, MATCH(G27,$G$1:G26,0))),
    ""
)</f>
        <v/>
      </c>
      <c r="J27" s="21" t="str">
        <f>_xlfn.LET(_xlpm.result, _xlfn.XLOOKUP(A27, 'CUSTOMER MASTER'!$A$2:$A$100, 'CUSTOMER MASTER'!$C$2:$C$100, ""), IF(_xlpm.result=0, "", _xlpm.result))</f>
        <v/>
      </c>
      <c r="K27" s="21" t="str">
        <f>_xlfn.LET(_xlpm.result, _xlfn.XLOOKUP(A27, 'CUSTOMER MASTER'!$A$2:$A$100, 'CUSTOMER MASTER'!$D$2:$D$100, ""), IF(_xlpm.result=0, "", _xlpm.result))</f>
        <v/>
      </c>
      <c r="L27" s="21" t="str">
        <f>_xlfn.LET(_xlpm.result, _xlfn.XLOOKUP(A27, 'CUSTOMER MASTER'!$A$2:$A$100, 'CUSTOMER MASTER'!$E$2:$E$100, ""), IF(_xlpm.result=0, "", _xlpm.result))</f>
        <v/>
      </c>
      <c r="M27" s="21" t="str">
        <f ca="1">IFERROR(
    "INV-" &amp; TEXT(TODAY(),"YYYYMM") &amp; "-" &amp;
    IF(COUNTIF($G$2:G27,G27)=1, MAX($I$1:I26)+1, INDEX($I$1:I26, MATCH(G27,$G$1:G26,0))),
"")</f>
        <v/>
      </c>
    </row>
    <row r="28" spans="6:13" x14ac:dyDescent="0.3">
      <c r="I28" s="3" t="str">
        <f>IFERROR(
    IF(COUNTIF($G$2:G28,G28)=1, MAX($I$1:I27)+1, INDEX($I$1:I27, MATCH(G28,$G$1:G27,0))),
    ""
)</f>
        <v/>
      </c>
      <c r="J28" s="21" t="str">
        <f>_xlfn.LET(_xlpm.result, _xlfn.XLOOKUP(A28, 'CUSTOMER MASTER'!$A$2:$A$100, 'CUSTOMER MASTER'!$C$2:$C$100, ""), IF(_xlpm.result=0, "", _xlpm.result))</f>
        <v/>
      </c>
      <c r="K28" s="21" t="str">
        <f>_xlfn.LET(_xlpm.result, _xlfn.XLOOKUP(A28, 'CUSTOMER MASTER'!$A$2:$A$100, 'CUSTOMER MASTER'!$D$2:$D$100, ""), IF(_xlpm.result=0, "", _xlpm.result))</f>
        <v/>
      </c>
      <c r="L28" s="21" t="str">
        <f>_xlfn.LET(_xlpm.result, _xlfn.XLOOKUP(A28, 'CUSTOMER MASTER'!$A$2:$A$100, 'CUSTOMER MASTER'!$E$2:$E$100, ""), IF(_xlpm.result=0, "", _xlpm.result))</f>
        <v/>
      </c>
      <c r="M28" s="21" t="str">
        <f ca="1">IFERROR(
    "INV-" &amp; TEXT(TODAY(),"YYYYMM") &amp; "-" &amp;
    IF(COUNTIF($G$2:G28,G28)=1, MAX($I$1:I27)+1, INDEX($I$1:I27, MATCH(G28,$G$1:G27,0))),
"")</f>
        <v/>
      </c>
    </row>
    <row r="29" spans="6:13" x14ac:dyDescent="0.3">
      <c r="I29" s="3" t="str">
        <f>IFERROR(
    IF(COUNTIF($G$2:G29,G29)=1, MAX($I$1:I28)+1, INDEX($I$1:I28, MATCH(G29,$G$1:G28,0))),
    ""
)</f>
        <v/>
      </c>
      <c r="J29" s="21" t="str">
        <f>_xlfn.LET(_xlpm.result, _xlfn.XLOOKUP(A29, 'CUSTOMER MASTER'!$A$2:$A$100, 'CUSTOMER MASTER'!$C$2:$C$100, ""), IF(_xlpm.result=0, "", _xlpm.result))</f>
        <v/>
      </c>
      <c r="L29" s="21" t="str">
        <f>_xlfn.LET(_xlpm.result, _xlfn.XLOOKUP(A29, 'CUSTOMER MASTER'!$A$2:$A$100, 'CUSTOMER MASTER'!$E$2:$E$100, ""), IF(_xlpm.result=0, "", _xlpm.result))</f>
        <v/>
      </c>
      <c r="M29" s="21" t="str">
        <f ca="1">IFERROR(
    "INV-" &amp; TEXT(TODAY(),"YYYYMM") &amp; "-" &amp;
    IF(COUNTIF($G$2:G29,G29)=1, MAX($I$1:I28)+1, INDEX($I$1:I28, MATCH(G29,$G$1:G28,0))),
"")</f>
        <v/>
      </c>
    </row>
    <row r="30" spans="6:13" x14ac:dyDescent="0.3">
      <c r="M30" s="21" t="str">
        <f ca="1">IFERROR(
    "INV-" &amp; TEXT(TODAY(),"YYYYMM") &amp; "-" &amp;
    IF(COUNTIF($G$2:G30,G30)=1, MAX($I$1:I29)+1, INDEX($I$1:I29, MATCH(G30,$G$1:G29,0))),
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805FA-261F-435B-9274-B43A9DC1C5F3}">
  <sheetPr codeName="Sheet3">
    <pageSetUpPr fitToPage="1"/>
  </sheetPr>
  <dimension ref="A1:Q48"/>
  <sheetViews>
    <sheetView tabSelected="1" zoomScale="80" zoomScaleNormal="80" workbookViewId="0">
      <selection activeCell="N21" sqref="N21"/>
    </sheetView>
  </sheetViews>
  <sheetFormatPr defaultRowHeight="14.4" x14ac:dyDescent="0.3"/>
  <cols>
    <col min="1" max="2" width="8.88671875" style="3"/>
    <col min="3" max="3" width="11" style="3" bestFit="1" customWidth="1"/>
    <col min="4" max="7" width="8.88671875" style="3"/>
    <col min="8" max="8" width="8.88671875" style="6"/>
    <col min="9" max="9" width="8.88671875" style="3"/>
    <col min="10" max="10" width="10.109375" style="3" bestFit="1" customWidth="1"/>
    <col min="11" max="11" width="8.88671875" style="3"/>
    <col min="12" max="12" width="15.21875" style="25" customWidth="1"/>
    <col min="13" max="15" width="8.88671875" style="3"/>
    <col min="16" max="16" width="26.109375" style="3" customWidth="1"/>
    <col min="17" max="17" width="21.21875" style="6" customWidth="1"/>
    <col min="18" max="16384" width="8.88671875" style="3"/>
  </cols>
  <sheetData>
    <row r="1" spans="1:17" x14ac:dyDescent="0.3">
      <c r="A1" s="2"/>
      <c r="B1" s="2"/>
      <c r="C1" s="2"/>
      <c r="D1" s="2"/>
      <c r="E1" s="4" t="s">
        <v>0</v>
      </c>
      <c r="F1" s="4"/>
      <c r="G1" s="4"/>
      <c r="H1" s="4"/>
      <c r="I1" s="2"/>
      <c r="J1" s="2"/>
      <c r="K1" s="2"/>
      <c r="L1" s="28"/>
    </row>
    <row r="2" spans="1:17" x14ac:dyDescent="0.3">
      <c r="A2" s="2"/>
      <c r="B2" s="2"/>
      <c r="C2" s="2"/>
      <c r="D2" s="2"/>
      <c r="E2" s="4"/>
      <c r="F2" s="4"/>
      <c r="G2" s="4"/>
      <c r="H2" s="4"/>
      <c r="I2" s="2"/>
      <c r="J2" s="2"/>
      <c r="K2" s="2"/>
      <c r="L2" s="28"/>
    </row>
    <row r="3" spans="1:17" x14ac:dyDescent="0.3">
      <c r="A3" s="2"/>
      <c r="B3" s="2"/>
      <c r="C3" s="2"/>
      <c r="D3" s="2"/>
      <c r="E3" s="4"/>
      <c r="F3" s="4"/>
      <c r="G3" s="4"/>
      <c r="H3" s="4"/>
      <c r="I3" s="2"/>
      <c r="J3" s="2"/>
      <c r="K3" s="2"/>
      <c r="L3" s="28"/>
    </row>
    <row r="4" spans="1:17" x14ac:dyDescent="0.3">
      <c r="A4" s="2"/>
      <c r="B4" s="2"/>
      <c r="C4" s="2"/>
      <c r="D4" s="2"/>
      <c r="E4" s="1" t="s">
        <v>1</v>
      </c>
      <c r="F4" s="1"/>
      <c r="G4" s="1"/>
      <c r="H4" s="1"/>
      <c r="I4" s="2"/>
      <c r="J4" s="2"/>
      <c r="K4" s="2"/>
      <c r="L4" s="28"/>
    </row>
    <row r="5" spans="1:17" x14ac:dyDescent="0.3">
      <c r="A5" s="2"/>
      <c r="B5" s="2"/>
      <c r="C5" s="2"/>
      <c r="D5" s="2"/>
      <c r="E5" s="5"/>
      <c r="F5" s="1" t="s">
        <v>17</v>
      </c>
      <c r="G5" s="1"/>
      <c r="H5" s="5"/>
      <c r="I5" s="2"/>
      <c r="J5" s="2"/>
      <c r="K5" s="2"/>
      <c r="L5" s="28"/>
    </row>
    <row r="6" spans="1:17" x14ac:dyDescent="0.3">
      <c r="A6" s="2"/>
      <c r="B6" s="2"/>
      <c r="C6" s="2"/>
      <c r="D6" s="2"/>
      <c r="E6" s="5"/>
      <c r="F6" s="1" t="s">
        <v>20</v>
      </c>
      <c r="G6" s="1"/>
      <c r="H6" s="5"/>
      <c r="I6" s="2"/>
      <c r="J6" s="2"/>
      <c r="K6" s="2"/>
      <c r="L6" s="28"/>
    </row>
    <row r="8" spans="1:17" x14ac:dyDescent="0.3">
      <c r="A8" s="2"/>
      <c r="B8" s="2"/>
      <c r="C8" s="2"/>
      <c r="D8" s="2"/>
      <c r="E8" s="1" t="s">
        <v>2</v>
      </c>
      <c r="F8" s="1"/>
      <c r="G8" s="1"/>
      <c r="H8" s="1"/>
      <c r="I8" s="2"/>
      <c r="J8" s="2"/>
      <c r="K8" s="2"/>
      <c r="L8" s="28"/>
    </row>
    <row r="9" spans="1:17" x14ac:dyDescent="0.3">
      <c r="P9" s="16" t="s">
        <v>54</v>
      </c>
      <c r="Q9" s="23" t="s">
        <v>53</v>
      </c>
    </row>
    <row r="10" spans="1:17" x14ac:dyDescent="0.3">
      <c r="A10" s="7"/>
      <c r="B10" s="8"/>
      <c r="C10" s="8"/>
      <c r="D10" s="8"/>
      <c r="E10" s="8"/>
      <c r="F10" s="8"/>
      <c r="G10" s="8"/>
      <c r="H10" s="32"/>
      <c r="I10" s="8"/>
      <c r="J10" s="8"/>
      <c r="K10" s="8"/>
      <c r="L10" s="29"/>
    </row>
    <row r="11" spans="1:17" x14ac:dyDescent="0.3">
      <c r="A11" s="9" t="s">
        <v>3</v>
      </c>
      <c r="B11" s="10"/>
      <c r="C11" s="11" t="str">
        <f ca="1">IFERROR(_xlfn.XLOOKUP(INVOICE!$Q$9, TRANSACTION!M:M, TRANSACTION!J:J), "")</f>
        <v>John Doe</v>
      </c>
      <c r="D11" s="11"/>
      <c r="E11" s="11"/>
      <c r="F11" s="11"/>
      <c r="G11" s="11"/>
      <c r="H11" s="10" t="s">
        <v>7</v>
      </c>
      <c r="I11" s="10"/>
      <c r="J11" s="12" t="str">
        <f>Q9</f>
        <v>INV-202510-1</v>
      </c>
      <c r="K11" s="12"/>
      <c r="L11" s="30"/>
    </row>
    <row r="12" spans="1:17" x14ac:dyDescent="0.3">
      <c r="A12" s="9" t="s">
        <v>4</v>
      </c>
      <c r="B12" s="10"/>
      <c r="C12" s="11" t="str">
        <f ca="1">IFERROR(_xlfn.XLOOKUP(INVOICE!$Q$9, TRANSACTION!M:M, TRANSACTION!K:K), "")</f>
        <v>Chennai</v>
      </c>
      <c r="D12" s="11"/>
      <c r="E12" s="11"/>
      <c r="F12" s="11"/>
      <c r="G12" s="11"/>
      <c r="H12" s="10" t="s">
        <v>21</v>
      </c>
      <c r="I12" s="10"/>
      <c r="J12" s="27">
        <f ca="1">IFERROR(_xlfn.XLOOKUP(INVOICE!$Q$9, TRANSACTION!M:M, TRANSACTION!B:B), "")</f>
        <v>45937</v>
      </c>
      <c r="K12" s="12"/>
      <c r="L12" s="30"/>
    </row>
    <row r="13" spans="1:17" x14ac:dyDescent="0.3">
      <c r="A13" s="9" t="s">
        <v>5</v>
      </c>
      <c r="B13" s="10"/>
      <c r="C13" s="57">
        <f ca="1">IFERROR(_xlfn.XLOOKUP(INVOICE!$Q$9, TRANSACTION!M:M, TRANSACTION!A:A), "")</f>
        <v>9876543210</v>
      </c>
      <c r="D13" s="11"/>
      <c r="E13" s="11"/>
      <c r="F13" s="11"/>
      <c r="G13" s="11"/>
      <c r="H13" s="10" t="s">
        <v>22</v>
      </c>
      <c r="I13" s="10"/>
      <c r="J13" s="12"/>
      <c r="K13" s="12"/>
      <c r="L13" s="30"/>
    </row>
    <row r="14" spans="1:17" x14ac:dyDescent="0.3">
      <c r="A14" s="9" t="s">
        <v>6</v>
      </c>
      <c r="B14" s="10"/>
      <c r="C14" s="11" t="str">
        <f ca="1">IFERROR(_xlfn.XLOOKUP(INVOICE!$Q$9, TRANSACTION!M:M, TRANSACTION!L:L), "")</f>
        <v>33ABCDE1234F1Z5</v>
      </c>
      <c r="D14" s="11"/>
      <c r="E14" s="11"/>
      <c r="F14" s="11"/>
      <c r="G14" s="11"/>
      <c r="H14" s="10"/>
      <c r="I14" s="10"/>
      <c r="J14" s="12"/>
      <c r="K14" s="12"/>
      <c r="L14" s="30"/>
    </row>
    <row r="15" spans="1:17" x14ac:dyDescent="0.3">
      <c r="A15" s="13"/>
      <c r="B15" s="14"/>
      <c r="C15" s="14"/>
      <c r="D15" s="14"/>
      <c r="E15" s="14"/>
      <c r="F15" s="14"/>
      <c r="G15" s="14"/>
      <c r="H15" s="33"/>
      <c r="I15" s="14"/>
      <c r="J15" s="14"/>
      <c r="K15" s="14"/>
      <c r="L15" s="31"/>
    </row>
    <row r="17" spans="1:12" s="17" customFormat="1" x14ac:dyDescent="0.3">
      <c r="A17" s="18" t="s">
        <v>8</v>
      </c>
      <c r="B17" s="20" t="s">
        <v>9</v>
      </c>
      <c r="C17" s="20"/>
      <c r="D17" s="20"/>
      <c r="E17" s="20" t="s">
        <v>10</v>
      </c>
      <c r="F17" s="20"/>
      <c r="G17" s="20"/>
      <c r="H17" s="19" t="s">
        <v>11</v>
      </c>
      <c r="I17" s="19"/>
      <c r="J17" s="19"/>
      <c r="K17" s="19"/>
      <c r="L17" s="58" t="s">
        <v>12</v>
      </c>
    </row>
    <row r="18" spans="1:12" x14ac:dyDescent="0.3">
      <c r="A18" s="35">
        <f ca="1">IF(C18&lt;&gt;"", 1, "")</f>
        <v>1</v>
      </c>
      <c r="B18" s="12"/>
      <c r="C18" s="37" t="str" cm="1">
        <f t="array" aca="1" ref="C18:C19" ca="1">IFERROR(_xlfn._xlws.FILTER(TRANSACTION!C:C, TRANSACTION!M:M=Q9), "")</f>
        <v>Pen</v>
      </c>
      <c r="D18" s="12"/>
      <c r="E18" s="12"/>
      <c r="F18" s="39" cm="1">
        <f t="array" aca="1" ref="F18" ca="1">IFERROR(
  IF(
    INDEX(TRANSACTION!E$2:E$1000, MATCH(1, (TRANSACTION!M$2:M$1000=$Q$9)*(TRANSACTION!C$2:C$1000=$C18), 0)) = "",
    "",
    INDEX(TRANSACTION!E$2:E$1000, MATCH(1, (TRANSACTION!M$2:M$1000=$Q$9)*(TRANSACTION!C$2:C$1000=$C18), 0))
  ),
"")</f>
        <v>10</v>
      </c>
      <c r="G18" s="12"/>
      <c r="H18" s="34" cm="1">
        <f t="array" aca="1" ref="H18" ca="1">IFERROR(
  IF(
    INDEX(TRANSACTION!D$2:D$1000, MATCH(1, (TRANSACTION!M$2:M$1000=$Q$9)*(TRANSACTION!C$2:C$1000=$C18), 0)) = "",
    "",
    INDEX(TRANSACTION!D$2:D$1000, MATCH(1, (TRANSACTION!M$2:M$1000=$Q$9)*(TRANSACTION!C$2:C$1000=$C18), 0))
  ),
"")</f>
        <v>5</v>
      </c>
      <c r="I18" s="12"/>
      <c r="J18" s="12"/>
      <c r="K18" s="12"/>
      <c r="L18" s="30">
        <f ca="1">IFERROR(F18*H18, "")</f>
        <v>50</v>
      </c>
    </row>
    <row r="19" spans="1:12" x14ac:dyDescent="0.3">
      <c r="A19" s="35">
        <f ca="1">IF(AND(ISNUMBER(A18), C19&lt;&gt;""), A18+1, "")</f>
        <v>2</v>
      </c>
      <c r="B19" s="12"/>
      <c r="C19" s="37" t="str">
        <f ca="1"/>
        <v>Notebook</v>
      </c>
      <c r="D19" s="12"/>
      <c r="E19" s="12"/>
      <c r="F19" s="39" cm="1">
        <f t="array" aca="1" ref="F19" ca="1">IFERROR(
  IF(
    INDEX(TRANSACTION!E$2:E$1000, MATCH(1, (TRANSACTION!M$2:M$1000=$Q$9)*(TRANSACTION!C$2:C$1000=$C19), 0)) = "",
    "",
    INDEX(TRANSACTION!E$2:E$1000, MATCH(1, (TRANSACTION!M$2:M$1000=$Q$9)*(TRANSACTION!C$2:C$1000=$C19), 0))
  ),
"")</f>
        <v>50</v>
      </c>
      <c r="G19" s="12"/>
      <c r="H19" s="34" cm="1">
        <f t="array" aca="1" ref="H19" ca="1">IFERROR(
  IF(
    INDEX(TRANSACTION!D$2:D$1000, MATCH(1, (TRANSACTION!M$2:M$1000=$Q$9)*(TRANSACTION!C$2:C$1000=$C19), 0)) = "",
    "",
    INDEX(TRANSACTION!D$2:D$1000, MATCH(1, (TRANSACTION!M$2:M$1000=$Q$9)*(TRANSACTION!C$2:C$1000=$C19), 0))
  ),
"")</f>
        <v>1</v>
      </c>
      <c r="I19" s="12"/>
      <c r="J19" s="12"/>
      <c r="K19" s="12"/>
      <c r="L19" s="30">
        <f t="shared" ref="L19:L37" ca="1" si="0">IFERROR(F19*H19, "")</f>
        <v>50</v>
      </c>
    </row>
    <row r="20" spans="1:12" x14ac:dyDescent="0.3">
      <c r="A20" s="35" t="str">
        <f t="shared" ref="A20:A37" ca="1" si="1">IF(AND(ISNUMBER(A19), C20&lt;&gt;""), A19+1, "")</f>
        <v/>
      </c>
      <c r="B20" s="12"/>
      <c r="C20" s="37"/>
      <c r="D20" s="12"/>
      <c r="E20" s="12"/>
      <c r="F20" s="39" t="str" cm="1">
        <f t="array" aca="1" ref="F20" ca="1">IFERROR(
  IF(
    INDEX(TRANSACTION!E$2:E$1000, MATCH(1, (TRANSACTION!M$2:M$1000=$Q$9)*(TRANSACTION!C$2:C$1000=$C20), 0)) = "",
    "",
    INDEX(TRANSACTION!E$2:E$1000, MATCH(1, (TRANSACTION!M$2:M$1000=$Q$9)*(TRANSACTION!C$2:C$1000=$C20), 0))
  ),
"")</f>
        <v/>
      </c>
      <c r="G20" s="12"/>
      <c r="H20" s="34" t="str" cm="1">
        <f t="array" aca="1" ref="H20" ca="1">IFERROR(
  IF(
    INDEX(TRANSACTION!D$2:D$1000, MATCH(1, (TRANSACTION!M$2:M$1000=$Q$9)*(TRANSACTION!C$2:C$1000=$C20), 0)) = "",
    "",
    INDEX(TRANSACTION!D$2:D$1000, MATCH(1, (TRANSACTION!M$2:M$1000=$Q$9)*(TRANSACTION!C$2:C$1000=$C20), 0))
  ),
"")</f>
        <v/>
      </c>
      <c r="I20" s="12"/>
      <c r="J20" s="12"/>
      <c r="K20" s="12"/>
      <c r="L20" s="30" t="str">
        <f t="shared" ca="1" si="0"/>
        <v/>
      </c>
    </row>
    <row r="21" spans="1:12" x14ac:dyDescent="0.3">
      <c r="A21" s="35" t="str">
        <f t="shared" ca="1" si="1"/>
        <v/>
      </c>
      <c r="B21" s="12"/>
      <c r="C21" s="37"/>
      <c r="D21" s="12"/>
      <c r="E21" s="12"/>
      <c r="F21" s="39" t="str" cm="1">
        <f t="array" aca="1" ref="F21" ca="1">IFERROR(
  IF(
    INDEX(TRANSACTION!E$2:E$1000, MATCH(1, (TRANSACTION!M$2:M$1000=$Q$9)*(TRANSACTION!C$2:C$1000=$C21), 0)) = "",
    "",
    INDEX(TRANSACTION!E$2:E$1000, MATCH(1, (TRANSACTION!M$2:M$1000=$Q$9)*(TRANSACTION!C$2:C$1000=$C21), 0))
  ),
"")</f>
        <v/>
      </c>
      <c r="G21" s="12"/>
      <c r="H21" s="34" t="str" cm="1">
        <f t="array" aca="1" ref="H21" ca="1">IFERROR(
  IF(
    INDEX(TRANSACTION!D$2:D$1000, MATCH(1, (TRANSACTION!M$2:M$1000=$Q$9)*(TRANSACTION!C$2:C$1000=$C21), 0)) = "",
    "",
    INDEX(TRANSACTION!D$2:D$1000, MATCH(1, (TRANSACTION!M$2:M$1000=$Q$9)*(TRANSACTION!C$2:C$1000=$C21), 0))
  ),
"")</f>
        <v/>
      </c>
      <c r="I21" s="12"/>
      <c r="J21" s="12"/>
      <c r="K21" s="12"/>
      <c r="L21" s="30" t="str">
        <f t="shared" ca="1" si="0"/>
        <v/>
      </c>
    </row>
    <row r="22" spans="1:12" x14ac:dyDescent="0.3">
      <c r="A22" s="35" t="str">
        <f t="shared" ca="1" si="1"/>
        <v/>
      </c>
      <c r="B22" s="12"/>
      <c r="C22" s="37"/>
      <c r="D22" s="12"/>
      <c r="E22" s="12"/>
      <c r="F22" s="39" t="str" cm="1">
        <f t="array" aca="1" ref="F22" ca="1">IFERROR(
  IF(
    INDEX(TRANSACTION!E$2:E$1000, MATCH(1, (TRANSACTION!M$2:M$1000=$Q$9)*(TRANSACTION!C$2:C$1000=$C22), 0)) = "",
    "",
    INDEX(TRANSACTION!E$2:E$1000, MATCH(1, (TRANSACTION!M$2:M$1000=$Q$9)*(TRANSACTION!C$2:C$1000=$C22), 0))
  ),
"")</f>
        <v/>
      </c>
      <c r="G22" s="12"/>
      <c r="H22" s="34" t="str" cm="1">
        <f t="array" aca="1" ref="H22" ca="1">IFERROR(
  IF(
    INDEX(TRANSACTION!D$2:D$1000, MATCH(1, (TRANSACTION!M$2:M$1000=$Q$9)*(TRANSACTION!C$2:C$1000=$C22), 0)) = "",
    "",
    INDEX(TRANSACTION!D$2:D$1000, MATCH(1, (TRANSACTION!M$2:M$1000=$Q$9)*(TRANSACTION!C$2:C$1000=$C22), 0))
  ),
"")</f>
        <v/>
      </c>
      <c r="I22" s="12"/>
      <c r="J22" s="12"/>
      <c r="K22" s="12"/>
      <c r="L22" s="30" t="str">
        <f t="shared" ca="1" si="0"/>
        <v/>
      </c>
    </row>
    <row r="23" spans="1:12" x14ac:dyDescent="0.3">
      <c r="A23" s="35" t="str">
        <f t="shared" ca="1" si="1"/>
        <v/>
      </c>
      <c r="B23" s="12"/>
      <c r="C23" s="37"/>
      <c r="D23" s="12"/>
      <c r="E23" s="12"/>
      <c r="F23" s="39" t="str" cm="1">
        <f t="array" aca="1" ref="F23" ca="1">IFERROR(
  IF(
    INDEX(TRANSACTION!E$2:E$1000, MATCH(1, (TRANSACTION!M$2:M$1000=$Q$9)*(TRANSACTION!C$2:C$1000=$C23), 0)) = "",
    "",
    INDEX(TRANSACTION!E$2:E$1000, MATCH(1, (TRANSACTION!M$2:M$1000=$Q$9)*(TRANSACTION!C$2:C$1000=$C23), 0))
  ),
"")</f>
        <v/>
      </c>
      <c r="G23" s="12"/>
      <c r="H23" s="34" t="str" cm="1">
        <f t="array" aca="1" ref="H23" ca="1">IFERROR(
  IF(
    INDEX(TRANSACTION!D$2:D$1000, MATCH(1, (TRANSACTION!M$2:M$1000=$Q$9)*(TRANSACTION!C$2:C$1000=$C23), 0)) = "",
    "",
    INDEX(TRANSACTION!D$2:D$1000, MATCH(1, (TRANSACTION!M$2:M$1000=$Q$9)*(TRANSACTION!C$2:C$1000=$C23), 0))
  ),
"")</f>
        <v/>
      </c>
      <c r="I23" s="12"/>
      <c r="J23" s="12"/>
      <c r="K23" s="12"/>
      <c r="L23" s="30" t="str">
        <f t="shared" ca="1" si="0"/>
        <v/>
      </c>
    </row>
    <row r="24" spans="1:12" x14ac:dyDescent="0.3">
      <c r="A24" s="35" t="str">
        <f t="shared" ca="1" si="1"/>
        <v/>
      </c>
      <c r="B24" s="12"/>
      <c r="C24" s="37"/>
      <c r="D24" s="12"/>
      <c r="E24" s="12"/>
      <c r="F24" s="39" t="str" cm="1">
        <f t="array" aca="1" ref="F24" ca="1">IFERROR(
  IF(
    INDEX(TRANSACTION!E$2:E$1000, MATCH(1, (TRANSACTION!M$2:M$1000=$Q$9)*(TRANSACTION!C$2:C$1000=$C24), 0)) = "",
    "",
    INDEX(TRANSACTION!E$2:E$1000, MATCH(1, (TRANSACTION!M$2:M$1000=$Q$9)*(TRANSACTION!C$2:C$1000=$C24), 0))
  ),
"")</f>
        <v/>
      </c>
      <c r="G24" s="12"/>
      <c r="H24" s="34" t="str" cm="1">
        <f t="array" aca="1" ref="H24" ca="1">IFERROR(
  IF(
    INDEX(TRANSACTION!D$2:D$1000, MATCH(1, (TRANSACTION!M$2:M$1000=$Q$9)*(TRANSACTION!C$2:C$1000=$C24), 0)) = "",
    "",
    INDEX(TRANSACTION!D$2:D$1000, MATCH(1, (TRANSACTION!M$2:M$1000=$Q$9)*(TRANSACTION!C$2:C$1000=$C24), 0))
  ),
"")</f>
        <v/>
      </c>
      <c r="I24" s="12"/>
      <c r="J24" s="12"/>
      <c r="K24" s="12"/>
      <c r="L24" s="30" t="str">
        <f t="shared" ca="1" si="0"/>
        <v/>
      </c>
    </row>
    <row r="25" spans="1:12" x14ac:dyDescent="0.3">
      <c r="A25" s="35" t="str">
        <f t="shared" ca="1" si="1"/>
        <v/>
      </c>
      <c r="B25" s="12"/>
      <c r="C25" s="37"/>
      <c r="D25" s="12"/>
      <c r="E25" s="12"/>
      <c r="F25" s="39" t="str" cm="1">
        <f t="array" aca="1" ref="F25" ca="1">IFERROR(
  IF(
    INDEX(TRANSACTION!E$2:E$1000, MATCH(1, (TRANSACTION!M$2:M$1000=$Q$9)*(TRANSACTION!C$2:C$1000=$C25), 0)) = "",
    "",
    INDEX(TRANSACTION!E$2:E$1000, MATCH(1, (TRANSACTION!M$2:M$1000=$Q$9)*(TRANSACTION!C$2:C$1000=$C25), 0))
  ),
"")</f>
        <v/>
      </c>
      <c r="G25" s="12"/>
      <c r="H25" s="34" t="str" cm="1">
        <f t="array" aca="1" ref="H25" ca="1">IFERROR(
  IF(
    INDEX(TRANSACTION!D$2:D$1000, MATCH(1, (TRANSACTION!M$2:M$1000=$Q$9)*(TRANSACTION!C$2:C$1000=$C25), 0)) = "",
    "",
    INDEX(TRANSACTION!D$2:D$1000, MATCH(1, (TRANSACTION!M$2:M$1000=$Q$9)*(TRANSACTION!C$2:C$1000=$C25), 0))
  ),
"")</f>
        <v/>
      </c>
      <c r="I25" s="12"/>
      <c r="J25" s="12"/>
      <c r="K25" s="12"/>
      <c r="L25" s="30" t="str">
        <f t="shared" ca="1" si="0"/>
        <v/>
      </c>
    </row>
    <row r="26" spans="1:12" x14ac:dyDescent="0.3">
      <c r="A26" s="35" t="str">
        <f t="shared" ca="1" si="1"/>
        <v/>
      </c>
      <c r="B26" s="12"/>
      <c r="C26" s="37"/>
      <c r="D26" s="12"/>
      <c r="E26" s="12"/>
      <c r="F26" s="39" t="str" cm="1">
        <f t="array" aca="1" ref="F26" ca="1">IFERROR(
  IF(
    INDEX(TRANSACTION!E$2:E$1000, MATCH(1, (TRANSACTION!M$2:M$1000=$Q$9)*(TRANSACTION!C$2:C$1000=$C26), 0)) = "",
    "",
    INDEX(TRANSACTION!E$2:E$1000, MATCH(1, (TRANSACTION!M$2:M$1000=$Q$9)*(TRANSACTION!C$2:C$1000=$C26), 0))
  ),
"")</f>
        <v/>
      </c>
      <c r="G26" s="12"/>
      <c r="H26" s="34" t="str" cm="1">
        <f t="array" aca="1" ref="H26" ca="1">IFERROR(
  IF(
    INDEX(TRANSACTION!D$2:D$1000, MATCH(1, (TRANSACTION!M$2:M$1000=$Q$9)*(TRANSACTION!C$2:C$1000=$C26), 0)) = "",
    "",
    INDEX(TRANSACTION!D$2:D$1000, MATCH(1, (TRANSACTION!M$2:M$1000=$Q$9)*(TRANSACTION!C$2:C$1000=$C26), 0))
  ),
"")</f>
        <v/>
      </c>
      <c r="I26" s="12"/>
      <c r="J26" s="12"/>
      <c r="K26" s="12"/>
      <c r="L26" s="30" t="str">
        <f t="shared" ca="1" si="0"/>
        <v/>
      </c>
    </row>
    <row r="27" spans="1:12" x14ac:dyDescent="0.3">
      <c r="A27" s="35" t="str">
        <f t="shared" ca="1" si="1"/>
        <v/>
      </c>
      <c r="B27" s="12"/>
      <c r="C27" s="37"/>
      <c r="D27" s="12"/>
      <c r="E27" s="12"/>
      <c r="F27" s="39" t="str" cm="1">
        <f t="array" aca="1" ref="F27" ca="1">IFERROR(
  IF(
    INDEX(TRANSACTION!E$2:E$1000, MATCH(1, (TRANSACTION!M$2:M$1000=$Q$9)*(TRANSACTION!C$2:C$1000=$C27), 0)) = "",
    "",
    INDEX(TRANSACTION!E$2:E$1000, MATCH(1, (TRANSACTION!M$2:M$1000=$Q$9)*(TRANSACTION!C$2:C$1000=$C27), 0))
  ),
"")</f>
        <v/>
      </c>
      <c r="G27" s="12"/>
      <c r="H27" s="34" t="str" cm="1">
        <f t="array" aca="1" ref="H27" ca="1">IFERROR(
  IF(
    INDEX(TRANSACTION!D$2:D$1000, MATCH(1, (TRANSACTION!M$2:M$1000=$Q$9)*(TRANSACTION!C$2:C$1000=$C27), 0)) = "",
    "",
    INDEX(TRANSACTION!D$2:D$1000, MATCH(1, (TRANSACTION!M$2:M$1000=$Q$9)*(TRANSACTION!C$2:C$1000=$C27), 0))
  ),
"")</f>
        <v/>
      </c>
      <c r="I27" s="12"/>
      <c r="J27" s="12"/>
      <c r="K27" s="12"/>
      <c r="L27" s="30" t="str">
        <f t="shared" ca="1" si="0"/>
        <v/>
      </c>
    </row>
    <row r="28" spans="1:12" x14ac:dyDescent="0.3">
      <c r="A28" s="35" t="str">
        <f t="shared" ca="1" si="1"/>
        <v/>
      </c>
      <c r="B28" s="12"/>
      <c r="C28" s="37"/>
      <c r="D28" s="12"/>
      <c r="E28" s="12"/>
      <c r="F28" s="39" t="str" cm="1">
        <f t="array" aca="1" ref="F28" ca="1">IFERROR(
  IF(
    INDEX(TRANSACTION!E$2:E$1000, MATCH(1, (TRANSACTION!M$2:M$1000=$Q$9)*(TRANSACTION!C$2:C$1000=$C28), 0)) = "",
    "",
    INDEX(TRANSACTION!E$2:E$1000, MATCH(1, (TRANSACTION!M$2:M$1000=$Q$9)*(TRANSACTION!C$2:C$1000=$C28), 0))
  ),
"")</f>
        <v/>
      </c>
      <c r="G28" s="12"/>
      <c r="H28" s="34" t="str" cm="1">
        <f t="array" aca="1" ref="H28" ca="1">IFERROR(
  IF(
    INDEX(TRANSACTION!D$2:D$1000, MATCH(1, (TRANSACTION!M$2:M$1000=$Q$9)*(TRANSACTION!C$2:C$1000=$C28), 0)) = "",
    "",
    INDEX(TRANSACTION!D$2:D$1000, MATCH(1, (TRANSACTION!M$2:M$1000=$Q$9)*(TRANSACTION!C$2:C$1000=$C28), 0))
  ),
"")</f>
        <v/>
      </c>
      <c r="I28" s="12"/>
      <c r="J28" s="12"/>
      <c r="K28" s="12"/>
      <c r="L28" s="30" t="str">
        <f t="shared" ca="1" si="0"/>
        <v/>
      </c>
    </row>
    <row r="29" spans="1:12" x14ac:dyDescent="0.3">
      <c r="A29" s="35" t="str">
        <f t="shared" ca="1" si="1"/>
        <v/>
      </c>
      <c r="B29" s="12"/>
      <c r="C29" s="37"/>
      <c r="D29" s="12"/>
      <c r="E29" s="12"/>
      <c r="F29" s="39" t="str" cm="1">
        <f t="array" aca="1" ref="F29" ca="1">IFERROR(
  IF(
    INDEX(TRANSACTION!E$2:E$1000, MATCH(1, (TRANSACTION!M$2:M$1000=$Q$9)*(TRANSACTION!C$2:C$1000=$C29), 0)) = "",
    "",
    INDEX(TRANSACTION!E$2:E$1000, MATCH(1, (TRANSACTION!M$2:M$1000=$Q$9)*(TRANSACTION!C$2:C$1000=$C29), 0))
  ),
"")</f>
        <v/>
      </c>
      <c r="G29" s="12"/>
      <c r="H29" s="34" t="str" cm="1">
        <f t="array" aca="1" ref="H29" ca="1">IFERROR(
  IF(
    INDEX(TRANSACTION!D$2:D$1000, MATCH(1, (TRANSACTION!M$2:M$1000=$Q$9)*(TRANSACTION!C$2:C$1000=$C29), 0)) = "",
    "",
    INDEX(TRANSACTION!D$2:D$1000, MATCH(1, (TRANSACTION!M$2:M$1000=$Q$9)*(TRANSACTION!C$2:C$1000=$C29), 0))
  ),
"")</f>
        <v/>
      </c>
      <c r="I29" s="12"/>
      <c r="J29" s="12"/>
      <c r="K29" s="12"/>
      <c r="L29" s="30" t="str">
        <f t="shared" ca="1" si="0"/>
        <v/>
      </c>
    </row>
    <row r="30" spans="1:12" x14ac:dyDescent="0.3">
      <c r="A30" s="35" t="str">
        <f t="shared" ca="1" si="1"/>
        <v/>
      </c>
      <c r="B30" s="12"/>
      <c r="C30" s="37"/>
      <c r="D30" s="12"/>
      <c r="E30" s="12"/>
      <c r="F30" s="39" t="str" cm="1">
        <f t="array" aca="1" ref="F30" ca="1">IFERROR(
  IF(
    INDEX(TRANSACTION!E$2:E$1000, MATCH(1, (TRANSACTION!M$2:M$1000=$Q$9)*(TRANSACTION!C$2:C$1000=$C30), 0)) = "",
    "",
    INDEX(TRANSACTION!E$2:E$1000, MATCH(1, (TRANSACTION!M$2:M$1000=$Q$9)*(TRANSACTION!C$2:C$1000=$C30), 0))
  ),
"")</f>
        <v/>
      </c>
      <c r="G30" s="12"/>
      <c r="H30" s="34" t="str" cm="1">
        <f t="array" aca="1" ref="H30" ca="1">IFERROR(
  IF(
    INDEX(TRANSACTION!D$2:D$1000, MATCH(1, (TRANSACTION!M$2:M$1000=$Q$9)*(TRANSACTION!C$2:C$1000=$C30), 0)) = "",
    "",
    INDEX(TRANSACTION!D$2:D$1000, MATCH(1, (TRANSACTION!M$2:M$1000=$Q$9)*(TRANSACTION!C$2:C$1000=$C30), 0))
  ),
"")</f>
        <v/>
      </c>
      <c r="I30" s="12"/>
      <c r="J30" s="12"/>
      <c r="K30" s="12"/>
      <c r="L30" s="30" t="str">
        <f t="shared" ca="1" si="0"/>
        <v/>
      </c>
    </row>
    <row r="31" spans="1:12" x14ac:dyDescent="0.3">
      <c r="A31" s="35" t="str">
        <f t="shared" ca="1" si="1"/>
        <v/>
      </c>
      <c r="B31" s="12"/>
      <c r="C31" s="37"/>
      <c r="D31" s="12"/>
      <c r="E31" s="12"/>
      <c r="F31" s="39" t="str" cm="1">
        <f t="array" aca="1" ref="F31" ca="1">IFERROR(
  IF(
    INDEX(TRANSACTION!E$2:E$1000, MATCH(1, (TRANSACTION!M$2:M$1000=$Q$9)*(TRANSACTION!C$2:C$1000=$C31), 0)) = "",
    "",
    INDEX(TRANSACTION!E$2:E$1000, MATCH(1, (TRANSACTION!M$2:M$1000=$Q$9)*(TRANSACTION!C$2:C$1000=$C31), 0))
  ),
"")</f>
        <v/>
      </c>
      <c r="G31" s="12"/>
      <c r="H31" s="34" t="str" cm="1">
        <f t="array" aca="1" ref="H31" ca="1">IFERROR(
  IF(
    INDEX(TRANSACTION!D$2:D$1000, MATCH(1, (TRANSACTION!M$2:M$1000=$Q$9)*(TRANSACTION!C$2:C$1000=$C31), 0)) = "",
    "",
    INDEX(TRANSACTION!D$2:D$1000, MATCH(1, (TRANSACTION!M$2:M$1000=$Q$9)*(TRANSACTION!C$2:C$1000=$C31), 0))
  ),
"")</f>
        <v/>
      </c>
      <c r="I31" s="12"/>
      <c r="J31" s="12"/>
      <c r="K31" s="12"/>
      <c r="L31" s="30" t="str">
        <f t="shared" ca="1" si="0"/>
        <v/>
      </c>
    </row>
    <row r="32" spans="1:12" x14ac:dyDescent="0.3">
      <c r="A32" s="35" t="str">
        <f ca="1">IF(AND(ISNUMBER(A31), C32&lt;&gt;""), A31+1, "")</f>
        <v/>
      </c>
      <c r="B32" s="12"/>
      <c r="C32" s="37"/>
      <c r="D32" s="12"/>
      <c r="E32" s="12"/>
      <c r="F32" s="39" t="str" cm="1">
        <f t="array" aca="1" ref="F32" ca="1">IFERROR(
  IF(
    INDEX(TRANSACTION!E$2:E$1000, MATCH(1, (TRANSACTION!M$2:M$1000=$Q$9)*(TRANSACTION!C$2:C$1000=$C32), 0)) = "",
    "",
    INDEX(TRANSACTION!E$2:E$1000, MATCH(1, (TRANSACTION!M$2:M$1000=$Q$9)*(TRANSACTION!C$2:C$1000=$C32), 0))
  ),
"")</f>
        <v/>
      </c>
      <c r="G32" s="12"/>
      <c r="H32" s="34" t="str" cm="1">
        <f t="array" aca="1" ref="H32" ca="1">IFERROR(
  IF(
    INDEX(TRANSACTION!D$2:D$1000, MATCH(1, (TRANSACTION!M$2:M$1000=$Q$9)*(TRANSACTION!C$2:C$1000=$C32), 0)) = "",
    "",
    INDEX(TRANSACTION!D$2:D$1000, MATCH(1, (TRANSACTION!M$2:M$1000=$Q$9)*(TRANSACTION!C$2:C$1000=$C32), 0))
  ),
"")</f>
        <v/>
      </c>
      <c r="I32" s="12"/>
      <c r="J32" s="12"/>
      <c r="K32" s="12"/>
      <c r="L32" s="30" t="str">
        <f t="shared" ca="1" si="0"/>
        <v/>
      </c>
    </row>
    <row r="33" spans="1:12" x14ac:dyDescent="0.3">
      <c r="A33" s="35" t="str">
        <f t="shared" ca="1" si="1"/>
        <v/>
      </c>
      <c r="B33" s="12"/>
      <c r="C33" s="37"/>
      <c r="D33" s="12"/>
      <c r="E33" s="12"/>
      <c r="F33" s="39" t="str" cm="1">
        <f t="array" aca="1" ref="F33" ca="1">IFERROR(
  IF(
    INDEX(TRANSACTION!E$2:E$1000, MATCH(1, (TRANSACTION!M$2:M$1000=$Q$9)*(TRANSACTION!C$2:C$1000=$C33), 0)) = "",
    "",
    INDEX(TRANSACTION!E$2:E$1000, MATCH(1, (TRANSACTION!M$2:M$1000=$Q$9)*(TRANSACTION!C$2:C$1000=$C33), 0))
  ),
"")</f>
        <v/>
      </c>
      <c r="G33" s="12"/>
      <c r="H33" s="34" t="str" cm="1">
        <f t="array" aca="1" ref="H33" ca="1">IFERROR(
  IF(
    INDEX(TRANSACTION!D$2:D$1000, MATCH(1, (TRANSACTION!M$2:M$1000=$Q$9)*(TRANSACTION!C$2:C$1000=$C33), 0)) = "",
    "",
    INDEX(TRANSACTION!D$2:D$1000, MATCH(1, (TRANSACTION!M$2:M$1000=$Q$9)*(TRANSACTION!C$2:C$1000=$C33), 0))
  ),
"")</f>
        <v/>
      </c>
      <c r="I33" s="12"/>
      <c r="J33" s="12"/>
      <c r="K33" s="12"/>
      <c r="L33" s="30" t="str">
        <f t="shared" ca="1" si="0"/>
        <v/>
      </c>
    </row>
    <row r="34" spans="1:12" x14ac:dyDescent="0.3">
      <c r="A34" s="35" t="str">
        <f t="shared" ca="1" si="1"/>
        <v/>
      </c>
      <c r="B34" s="12"/>
      <c r="C34" s="37"/>
      <c r="D34" s="12"/>
      <c r="E34" s="12"/>
      <c r="F34" s="39" t="str" cm="1">
        <f t="array" aca="1" ref="F34" ca="1">IFERROR(
  IF(
    INDEX(TRANSACTION!E$2:E$1000, MATCH(1, (TRANSACTION!M$2:M$1000=$Q$9)*(TRANSACTION!C$2:C$1000=$C34), 0)) = "",
    "",
    INDEX(TRANSACTION!E$2:E$1000, MATCH(1, (TRANSACTION!M$2:M$1000=$Q$9)*(TRANSACTION!C$2:C$1000=$C34), 0))
  ),
"")</f>
        <v/>
      </c>
      <c r="G34" s="12"/>
      <c r="H34" s="34" t="str" cm="1">
        <f t="array" aca="1" ref="H34" ca="1">IFERROR(
  IF(
    INDEX(TRANSACTION!D$2:D$1000, MATCH(1, (TRANSACTION!M$2:M$1000=$Q$9)*(TRANSACTION!C$2:C$1000=$C34), 0)) = "",
    "",
    INDEX(TRANSACTION!D$2:D$1000, MATCH(1, (TRANSACTION!M$2:M$1000=$Q$9)*(TRANSACTION!C$2:C$1000=$C34), 0))
  ),
"")</f>
        <v/>
      </c>
      <c r="I34" s="12"/>
      <c r="J34" s="12"/>
      <c r="K34" s="12"/>
      <c r="L34" s="30" t="str">
        <f t="shared" ca="1" si="0"/>
        <v/>
      </c>
    </row>
    <row r="35" spans="1:12" x14ac:dyDescent="0.3">
      <c r="A35" s="35" t="str">
        <f t="shared" ca="1" si="1"/>
        <v/>
      </c>
      <c r="B35" s="12"/>
      <c r="C35" s="37"/>
      <c r="D35" s="12"/>
      <c r="E35" s="12"/>
      <c r="F35" s="39" t="str" cm="1">
        <f t="array" aca="1" ref="F35" ca="1">IFERROR(
  IF(
    INDEX(TRANSACTION!E$2:E$1000, MATCH(1, (TRANSACTION!M$2:M$1000=$Q$9)*(TRANSACTION!C$2:C$1000=$C35), 0)) = "",
    "",
    INDEX(TRANSACTION!E$2:E$1000, MATCH(1, (TRANSACTION!M$2:M$1000=$Q$9)*(TRANSACTION!C$2:C$1000=$C35), 0))
  ),
"")</f>
        <v/>
      </c>
      <c r="G35" s="12"/>
      <c r="H35" s="34" t="str" cm="1">
        <f t="array" aca="1" ref="H35" ca="1">IFERROR(
  IF(
    INDEX(TRANSACTION!D$2:D$1000, MATCH(1, (TRANSACTION!M$2:M$1000=$Q$9)*(TRANSACTION!C$2:C$1000=$C35), 0)) = "",
    "",
    INDEX(TRANSACTION!D$2:D$1000, MATCH(1, (TRANSACTION!M$2:M$1000=$Q$9)*(TRANSACTION!C$2:C$1000=$C35), 0))
  ),
"")</f>
        <v/>
      </c>
      <c r="I35" s="12"/>
      <c r="J35" s="12"/>
      <c r="K35" s="12"/>
      <c r="L35" s="30" t="str">
        <f t="shared" ca="1" si="0"/>
        <v/>
      </c>
    </row>
    <row r="36" spans="1:12" x14ac:dyDescent="0.3">
      <c r="A36" s="35" t="str">
        <f t="shared" ca="1" si="1"/>
        <v/>
      </c>
      <c r="B36" s="12"/>
      <c r="C36" s="37"/>
      <c r="D36" s="12"/>
      <c r="E36" s="12"/>
      <c r="F36" s="39" t="str" cm="1">
        <f t="array" aca="1" ref="F36" ca="1">IFERROR(
  IF(
    INDEX(TRANSACTION!E$2:E$1000, MATCH(1, (TRANSACTION!M$2:M$1000=$Q$9)*(TRANSACTION!C$2:C$1000=$C36), 0)) = "",
    "",
    INDEX(TRANSACTION!E$2:E$1000, MATCH(1, (TRANSACTION!M$2:M$1000=$Q$9)*(TRANSACTION!C$2:C$1000=$C36), 0))
  ),
"")</f>
        <v/>
      </c>
      <c r="G36" s="12"/>
      <c r="H36" s="34" t="str" cm="1">
        <f t="array" aca="1" ref="H36" ca="1">IFERROR(
  IF(
    INDEX(TRANSACTION!D$2:D$1000, MATCH(1, (TRANSACTION!M$2:M$1000=$Q$9)*(TRANSACTION!C$2:C$1000=$C36), 0)) = "",
    "",
    INDEX(TRANSACTION!D$2:D$1000, MATCH(1, (TRANSACTION!M$2:M$1000=$Q$9)*(TRANSACTION!C$2:C$1000=$C36), 0))
  ),
"")</f>
        <v/>
      </c>
      <c r="I36" s="12"/>
      <c r="J36" s="12"/>
      <c r="K36" s="12"/>
      <c r="L36" s="30" t="str">
        <f t="shared" ca="1" si="0"/>
        <v/>
      </c>
    </row>
    <row r="37" spans="1:12" x14ac:dyDescent="0.3">
      <c r="A37" s="36" t="str">
        <f t="shared" ca="1" si="1"/>
        <v/>
      </c>
      <c r="B37" s="14"/>
      <c r="C37" s="38"/>
      <c r="D37" s="14"/>
      <c r="E37" s="14"/>
      <c r="F37" s="40" t="str" cm="1">
        <f t="array" aca="1" ref="F37" ca="1">IFERROR(
  IF(
    INDEX(TRANSACTION!E$2:E$1000, MATCH(1, (TRANSACTION!M$2:M$1000=$Q$9)*(TRANSACTION!C$2:C$1000=$C37), 0)) = "",
    "",
    INDEX(TRANSACTION!E$2:E$1000, MATCH(1, (TRANSACTION!M$2:M$1000=$Q$9)*(TRANSACTION!C$2:C$1000=$C37), 0))
  ),
"")</f>
        <v/>
      </c>
      <c r="G37" s="14"/>
      <c r="H37" s="33" t="str" cm="1">
        <f t="array" aca="1" ref="H37" ca="1">IFERROR(
  IF(
    INDEX(TRANSACTION!D$2:D$1000, MATCH(1, (TRANSACTION!M$2:M$1000=$Q$9)*(TRANSACTION!C$2:C$1000=$C37), 0)) = "",
    "",
    INDEX(TRANSACTION!D$2:D$1000, MATCH(1, (TRANSACTION!M$2:M$1000=$Q$9)*(TRANSACTION!C$2:C$1000=$C37), 0))
  ),
"")</f>
        <v/>
      </c>
      <c r="I37" s="14"/>
      <c r="J37" s="14"/>
      <c r="K37" s="14"/>
      <c r="L37" s="31" t="str">
        <f t="shared" ca="1" si="0"/>
        <v/>
      </c>
    </row>
    <row r="39" spans="1:12" ht="18" x14ac:dyDescent="0.3">
      <c r="A39" s="41"/>
      <c r="B39" s="42"/>
      <c r="C39" s="42"/>
      <c r="D39" s="42"/>
      <c r="E39" s="42"/>
      <c r="F39" s="42"/>
      <c r="G39" s="42"/>
      <c r="H39" s="43"/>
      <c r="I39" s="42"/>
      <c r="J39" s="44" t="s">
        <v>13</v>
      </c>
      <c r="K39" s="44"/>
      <c r="L39" s="45">
        <f ca="1">SUM(L18:L37)</f>
        <v>100</v>
      </c>
    </row>
    <row r="40" spans="1:12" x14ac:dyDescent="0.3">
      <c r="A40" s="15"/>
      <c r="B40" s="12"/>
      <c r="C40" s="12"/>
      <c r="D40" s="12"/>
      <c r="E40" s="12"/>
      <c r="F40" s="12"/>
      <c r="G40" s="12"/>
      <c r="H40" s="34"/>
      <c r="I40" s="12"/>
      <c r="J40" s="46">
        <v>18</v>
      </c>
      <c r="K40" s="47" t="s">
        <v>14</v>
      </c>
      <c r="L40" s="30">
        <f ca="1">L39 * J40 / 100</f>
        <v>18</v>
      </c>
    </row>
    <row r="41" spans="1:12" x14ac:dyDescent="0.3">
      <c r="A41" s="15"/>
      <c r="B41" s="12"/>
      <c r="C41" s="12"/>
      <c r="D41" s="12"/>
      <c r="E41" s="12"/>
      <c r="F41" s="12"/>
      <c r="G41" s="12"/>
      <c r="H41" s="34"/>
      <c r="I41" s="12"/>
      <c r="J41" s="48" t="s">
        <v>15</v>
      </c>
      <c r="K41" s="48"/>
      <c r="L41" s="30"/>
    </row>
    <row r="42" spans="1:12" ht="21" x14ac:dyDescent="0.3">
      <c r="A42" s="49"/>
      <c r="B42" s="50"/>
      <c r="C42" s="50"/>
      <c r="D42" s="50"/>
      <c r="E42" s="50"/>
      <c r="F42" s="50"/>
      <c r="G42" s="50"/>
      <c r="H42" s="51"/>
      <c r="I42" s="50"/>
      <c r="J42" s="52" t="s">
        <v>16</v>
      </c>
      <c r="K42" s="52"/>
      <c r="L42" s="53">
        <f ca="1">SUM(L39:L41)</f>
        <v>118</v>
      </c>
    </row>
    <row r="46" spans="1:12" x14ac:dyDescent="0.3">
      <c r="A46" s="16" t="s">
        <v>19</v>
      </c>
    </row>
    <row r="48" spans="1:12" x14ac:dyDescent="0.3">
      <c r="A48" s="54" t="s">
        <v>18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6"/>
    </row>
  </sheetData>
  <mergeCells count="19">
    <mergeCell ref="A48:L48"/>
    <mergeCell ref="F6:G6"/>
    <mergeCell ref="J39:K39"/>
    <mergeCell ref="J41:K41"/>
    <mergeCell ref="J42:K42"/>
    <mergeCell ref="B17:D17"/>
    <mergeCell ref="E17:G17"/>
    <mergeCell ref="A13:B13"/>
    <mergeCell ref="A14:B14"/>
    <mergeCell ref="H11:I11"/>
    <mergeCell ref="H12:I12"/>
    <mergeCell ref="H13:I13"/>
    <mergeCell ref="H14:I14"/>
    <mergeCell ref="E1:H3"/>
    <mergeCell ref="E4:H4"/>
    <mergeCell ref="E8:H8"/>
    <mergeCell ref="A11:B11"/>
    <mergeCell ref="A12:B12"/>
    <mergeCell ref="F5:G5"/>
  </mergeCells>
  <pageMargins left="0.25" right="0.25" top="0.75" bottom="0.75" header="0.3" footer="0.3"/>
  <pageSetup scale="8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2.Generate_Invoice_PDF">
                <anchor moveWithCells="1">
                  <from>
                    <xdr:col>14</xdr:col>
                    <xdr:colOff>594360</xdr:colOff>
                    <xdr:row>10</xdr:row>
                    <xdr:rowOff>106680</xdr:rowOff>
                  </from>
                  <to>
                    <xdr:col>17</xdr:col>
                    <xdr:colOff>7620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CUSTOMER MASTER</vt:lpstr>
      <vt:lpstr>TRANSACTION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Thiyagesh R</cp:lastModifiedBy>
  <cp:lastPrinted>2025-10-08T06:14:28Z</cp:lastPrinted>
  <dcterms:created xsi:type="dcterms:W3CDTF">2015-06-05T18:17:20Z</dcterms:created>
  <dcterms:modified xsi:type="dcterms:W3CDTF">2025-10-08T06:17:44Z</dcterms:modified>
</cp:coreProperties>
</file>